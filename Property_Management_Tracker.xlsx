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M ONLY" sheetId="2" state="visible" r:id="rId4"/>
    <sheet name="LEASE ONLY" sheetId="3" state="visible" r:id="rId5"/>
    <sheet name="TENANTS" sheetId="4" state="visible" r:id="rId6"/>
    <sheet name="Lease Move Out Search" sheetId="5" state="visible" r:id="rId7"/>
    <sheet name="REALTOR FEES" sheetId="6" state="visible" r:id="rId8"/>
    <sheet name="SENT PM AGREEMENTS" sheetId="7" state="visible" r:id="rId9"/>
    <sheet name="Len-Onboarded" sheetId="8" state="visible" r:id="rId10"/>
  </sheets>
  <definedNames>
    <definedName function="false" hidden="true" localSheetId="4" name="_xlnm._FilterDatabase" vbProcedure="false">'Lease Move Out Search'!$D$1:$K$1000</definedName>
    <definedName function="false" hidden="false" name="A11AC1" vbProcedure="false">#REF!</definedName>
    <definedName function="false" hidden="false" name="Heartbeat_Cell" vbProcedure="false">Dashboard!$C$6</definedName>
    <definedName function="false" hidden="false" name="KPI_ActiveUnits" vbProcedure="false">Dashboard!$C$10</definedName>
    <definedName function="false" hidden="false" name="KPI_AncillaryIncome_Parking" vbProcedure="false">Dashboard!$C$41</definedName>
    <definedName function="false" hidden="false" name="KPI_AncillaryIncome_PetFee" vbProcedure="false">Dashboard!$C$40</definedName>
    <definedName function="false" hidden="false" name="KPI_AncillaryIncome_Storage" vbProcedure="false">Dashboard!$C$42</definedName>
    <definedName function="false" hidden="false" name="KPI_GSTRate" vbProcedure="false">Dashboard!$C$5</definedName>
    <definedName function="false" hidden="false" name="KPI_InvalidLeaseMoveIn_PMOnly" vbProcedure="false">Dashboard!$C$62</definedName>
    <definedName function="false" hidden="false" name="KPI_InvalidMgmtAgreementDate_LeaseOnly" vbProcedure="false">Dashboard!$C$63</definedName>
    <definedName function="false" hidden="false" name="KPI_InvalidMgmtAgreementDate_PMOnly" vbProcedure="false">Dashboard!$C$61</definedName>
    <definedName function="false" hidden="false" name="KPI_LeasesExpiring30d" vbProcedure="false">Dashboard!$C$46</definedName>
    <definedName function="false" hidden="false" name="KPI_LeasesExpiring60d" vbProcedure="false">Dashboard!$C$47</definedName>
    <definedName function="false" hidden="false" name="KPI_LeasesExpiring90d" vbProcedure="false">Dashboard!$C$48</definedName>
    <definedName function="false" hidden="false" name="KPI_LeasingFeeRevenue_ExclGST_PMOnly" vbProcedure="false">Dashboard!$C$35</definedName>
    <definedName function="false" hidden="false" name="KPI_LeasingFeeRevenue_InclGST_LeaseOnly" vbProcedure="false">Dashboard!$C$36</definedName>
    <definedName function="false" hidden="false" name="KPI_MgmtFeeRevenue_ExclGST" vbProcedure="false">Dashboard!$C$33</definedName>
    <definedName function="false" hidden="false" name="KPI_MgmtFeeRevenue_InclGST_Est" vbProcedure="false">Dashboard!$C$34</definedName>
    <definedName function="false" hidden="false" name="KPI_NewLeasesThisMonth" vbProcedure="false">Dashboard!$C$50</definedName>
    <definedName function="false" hidden="false" name="KPI_NewOwnersThisMonth" vbProcedure="false">Dashboard!$C$54</definedName>
    <definedName function="false" hidden="false" name="KPI_NewOwnersThisQuarter" vbProcedure="false">Dashboard!$C$55</definedName>
    <definedName function="false" hidden="false" name="KPI_NewUnitsThisMonth" vbProcedure="false">Dashboard!$C$56</definedName>
    <definedName function="false" hidden="false" name="KPI_NewUnitsThisQuarter" vbProcedure="false">Dashboard!$C$57</definedName>
    <definedName function="false" hidden="false" name="KPI_OccupancyRate" vbProcedure="false">Dashboard!$C$15</definedName>
    <definedName function="false" hidden="false" name="KPI_OccupiedMissingEmail" vbProcedure="false">Dashboard!$C$65</definedName>
    <definedName function="false" hidden="false" name="KPI_OccupiedMissingPhone" vbProcedure="false">Dashboard!$C$66</definedName>
    <definedName function="false" hidden="false" name="KPI_OccupiedMissingTenantName" vbProcedure="false">Dashboard!$C$64</definedName>
    <definedName function="false" hidden="false" name="KPI_OccupiedUnits" vbProcedure="false">Dashboard!$C$12</definedName>
    <definedName function="false" hidden="false" name="KPI_OwnerDisbursements_Combined" vbProcedure="false">Dashboard!$C$39</definedName>
    <definedName function="false" hidden="false" name="KPI_OwnerDisbursements_LeaseOnly" vbProcedure="false">Dashboard!$C$38</definedName>
    <definedName function="false" hidden="false" name="KPI_OwnerDisbursements_PMOnly" vbProcedure="false">Dashboard!$C$37</definedName>
    <definedName function="false" hidden="false" name="KPI_RentRoll_LeaseOnly" vbProcedure="false">Dashboard!$C$32</definedName>
    <definedName function="false" hidden="false" name="KPI_RentRoll_PMOnly" vbProcedure="false">Dashboard!$C$31</definedName>
    <definedName function="false" hidden="false" name="KPI_ReportDate" vbProcedure="false">Dashboard!$C$4</definedName>
    <definedName function="false" hidden="false" name="KPI_TakeOverUnits" vbProcedure="false">Dashboard!$C$14</definedName>
    <definedName function="false" hidden="false" name="KPI_TerminatedUnits" vbProcedure="false">Dashboard!$C$11</definedName>
    <definedName function="false" hidden="false" name="KPI_TotalUnits" vbProcedure="false">Dashboard!$C$9</definedName>
    <definedName function="false" hidden="false" name="KPI_VacantActiveUnits" vbProcedure="false">Dashboard!$C$49</definedName>
    <definedName function="false" hidden="false" name="KPI_VacantUnits" vbProcedure="false">Dashboard!$C$13</definedName>
    <definedName function="false" hidden="false" name="PM_Workload_Table" vbProcedure="false">Dashboard!$B$18:$E$27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4" authorId="0">
      <text>
        <r>
          <rPr>
            <sz val="10"/>
            <rFont val="Arial"/>
            <family val="2"/>
          </rPr>
          <t xml:space="preserve">no attached contract agreement</t>
        </r>
      </text>
    </comment>
    <comment ref="R21" authorId="0">
      <text>
        <r>
          <rPr>
            <sz val="10"/>
            <rFont val="Arial"/>
            <family val="2"/>
          </rPr>
          <t xml:space="preserve">EXPIRED DOCUMENT</t>
        </r>
      </text>
    </comment>
  </commentList>
</comments>
</file>

<file path=xl/sharedStrings.xml><?xml version="1.0" encoding="utf-8"?>
<sst xmlns="http://schemas.openxmlformats.org/spreadsheetml/2006/main" count="2854" uniqueCount="1069">
  <si>
    <t xml:space="preserve">Property Management Tracker — Live Dashboard</t>
  </si>
  <si>
    <t xml:space="preserve">Auto-calculated from PM ONLY, LEASE ONLY, and Len-Onboarded — all figures are live formulas that update when source rows change.</t>
  </si>
  <si>
    <t xml:space="preserve">Report Date (auto)</t>
  </si>
  <si>
    <t xml:space="preserve">GST Rate (assumption, used for estimates below)</t>
  </si>
  <si>
    <t xml:space="preserve">Input cell — edit if GST rate changes. PM ONLY's own 'TOTAL FEES WITH GST' column is blank in the source data, so this rate is used to estimate GST-inclusive management-fee revenue below.</t>
  </si>
  <si>
    <t xml:space="preserve">Heartbeat (auto-refresh timestamp)</t>
  </si>
  <si>
    <t xml:space="preserve">Written by an external scheduler (e.g. n8n) on a timer. Google Sheets only recalculates TODAY()-based formulas (the Leasing Pipeline and Growth sections) on open, on edit, or on its own periodic auto-recalc — writing any value here counts as an edit and forces a full recalculation, so those KPIs stay fresh even if no human opens the sheet. Named range: Heartbeat_Cell.</t>
  </si>
  <si>
    <t xml:space="preserve">1.  Portfolio Overview</t>
  </si>
  <si>
    <t xml:space="preserve">Metric</t>
  </si>
  <si>
    <t xml:space="preserve">Value</t>
  </si>
  <si>
    <t xml:space="preserve">Notes</t>
  </si>
  <si>
    <t xml:space="preserve">Total Units Tracked (PM ONLY)</t>
  </si>
  <si>
    <t xml:space="preserve">Count of non-blank Property rows in PM ONLY.</t>
  </si>
  <si>
    <t xml:space="preserve">Active Units</t>
  </si>
  <si>
    <t xml:space="preserve">Terminated Units</t>
  </si>
  <si>
    <t xml:space="preserve">Occupied Units</t>
  </si>
  <si>
    <t xml:space="preserve">Vacant Units</t>
  </si>
  <si>
    <t xml:space="preserve">Take Over (in transition) Units</t>
  </si>
  <si>
    <t xml:space="preserve">"Take over" is a third Occupancy Status value found in the source data, distinct from Occupied/Vacant.</t>
  </si>
  <si>
    <t xml:space="preserve">Occupancy Rate (Occupied ÷ Occupied+Vacant+Take Over)</t>
  </si>
  <si>
    <t xml:space="preserve">Guarded against a zero denominator.</t>
  </si>
  <si>
    <t xml:space="preserve">Units by Assigned PM (workload)</t>
  </si>
  <si>
    <t xml:space="preserve">Assigned PM</t>
  </si>
  <si>
    <t xml:space="preserve">Total Units (incl. Terminated)</t>
  </si>
  <si>
    <t xml:space="preserve">% of Active Portfolio</t>
  </si>
  <si>
    <t xml:space="preserve">Thomas Bruchig</t>
  </si>
  <si>
    <t xml:space="preserve">Junny Ko</t>
  </si>
  <si>
    <t xml:space="preserve">Ranjeet Bhangu</t>
  </si>
  <si>
    <t xml:space="preserve">Hemi Persaud</t>
  </si>
  <si>
    <t xml:space="preserve">Lorraine Girouard</t>
  </si>
  <si>
    <t xml:space="preserve">Emman Lim</t>
  </si>
  <si>
    <t xml:space="preserve">Parmeet Singh</t>
  </si>
  <si>
    <t xml:space="preserve">Lorenzo Cabason</t>
  </si>
  <si>
    <t xml:space="preserve">Rachel Qin</t>
  </si>
  <si>
    <t xml:space="preserve">2.  Revenue Snapshot</t>
  </si>
  <si>
    <t xml:space="preserve">Total Monthly Rent Roll (PM ONLY)</t>
  </si>
  <si>
    <t xml:space="preserve">Total Monthly Rent Roll (LEASE ONLY, supplemental)</t>
  </si>
  <si>
    <t xml:space="preserve">Leasing-only engagements; kept separate so it is not double-counted with PM ONLY rent.</t>
  </si>
  <si>
    <t xml:space="preserve">Total Management Fee Revenue, excl. GST (PM ONLY)</t>
  </si>
  <si>
    <t xml:space="preserve">Total Management Fee Revenue, incl. GST (estimated)</t>
  </si>
  <si>
    <t xml:space="preserve">Estimated using the GST Rate assumption above — PM ONLY's 'TOTAL FEES WITH GST' column has no source formula/values to sum directly.</t>
  </si>
  <si>
    <t xml:space="preserve">Total Leasing Fee Revenue, excl. GST (PM ONLY)</t>
  </si>
  <si>
    <t xml:space="preserve">Total Leasing Fee Revenue, incl. GST (LEASE ONLY)</t>
  </si>
  <si>
    <t xml:space="preserve">LEASE ONLY column Q already computes Leasing Fee x 1.05 per row in the source.</t>
  </si>
  <si>
    <t xml:space="preserve">Total Owner Disbursements (PM ONLY)</t>
  </si>
  <si>
    <t xml:space="preserve">Total Owner Disbursements (LEASE ONLY)</t>
  </si>
  <si>
    <t xml:space="preserve">Combined Total Owner Disbursements</t>
  </si>
  <si>
    <t xml:space="preserve">Ancillary Income — Pet Fee (PM ONLY)</t>
  </si>
  <si>
    <t xml:space="preserve">Ancillary Income — Parking (PM ONLY)</t>
  </si>
  <si>
    <t xml:space="preserve">Ancillary Income — Storage (PM ONLY)</t>
  </si>
  <si>
    <t xml:space="preserve">3.  Leasing Pipeline</t>
  </si>
  <si>
    <t xml:space="preserve">Leases Expiring in Next 30 Days (Active units)</t>
  </si>
  <si>
    <t xml:space="preserve">Text/blank move-out dates are ignored automatically by COUNTIFS's numeric comparison.</t>
  </si>
  <si>
    <t xml:space="preserve">Leases Expiring in Next 60 Days (Active units)</t>
  </si>
  <si>
    <t xml:space="preserve">Leases Expiring in Next 90 Days (Active units)</t>
  </si>
  <si>
    <t xml:space="preserve">Vacant Units with Active PM Agreement (immediate revenue loss)</t>
  </si>
  <si>
    <t xml:space="preserve">New Leases Signed This Month (Lease Move In)</t>
  </si>
  <si>
    <t xml:space="preserve">Counts PM ONLY rows whose Lease Move In date falls within the current calendar month.</t>
  </si>
  <si>
    <t xml:space="preserve">4.  Growth</t>
  </si>
  <si>
    <t xml:space="preserve">New Owners Onboarded This Month (Len-Onboarded)</t>
  </si>
  <si>
    <t xml:space="preserve">New Owners Onboarded This Quarter (Len-Onboarded)</t>
  </si>
  <si>
    <t xml:space="preserve">New Units Added This Month (Management Agreement Date)</t>
  </si>
  <si>
    <t xml:space="preserve">New Units Added This Quarter (Management Agreement Date)</t>
  </si>
  <si>
    <t xml:space="preserve">5.  Data Health (needs manual cleanup)</t>
  </si>
  <si>
    <t xml:space="preserve">PM ONLY — Invalid/Non-Date "Management Agreement Date" entries</t>
  </si>
  <si>
    <t xml:space="preserve">E.g. literal "???" placeholders. Excluded automatically from all date-based KPIs above; still needs manual correction at the source.</t>
  </si>
  <si>
    <t xml:space="preserve">PM ONLY — Invalid/Non-Date "Lease Move In" entries</t>
  </si>
  <si>
    <t xml:space="preserve">E.g. a free-text date such as "Sept 01, 2026" instead of a real date value.</t>
  </si>
  <si>
    <t xml:space="preserve">LEASE ONLY — Invalid/Non-Date "Management Agreement Date" entries</t>
  </si>
  <si>
    <t xml:space="preserve">E.g. a mistyped year such as "February 19, 0206".</t>
  </si>
  <si>
    <t xml:space="preserve">Occupied Units Missing Tenant Name</t>
  </si>
  <si>
    <t xml:space="preserve">Occupied Units Missing Email</t>
  </si>
  <si>
    <t xml:space="preserve">Occupied Units Missing Phone Number</t>
  </si>
  <si>
    <t xml:space="preserve">Assumptions &amp; Data-Quality Notes</t>
  </si>
  <si>
    <t xml:space="preserve">•  All KPIs pull live from PM ONLY, LEASE ONLY, and Len-Onboarded via SUMIFS/COUNTIFS/SUMPRODUCT — nothing on this tab is a hardcoded total.</t>
  </si>
  <si>
    <t xml:space="preserve">•  Formula ranges extend well past the current last data row (e.g. PM ONLY 2:2000) so new rows added to the source tabs are picked up automatically without editing this tab.</t>
  </si>
  <si>
    <t xml:space="preserve">•  COUNTIFS/SUMIFS date-range criteria ("&gt;="/"&lt;=") only match real date/number values, so non-date text like "???" is silently skipped rather than causing a formula error — see the Data Health section for a count of what still needs manual cleanup.</t>
  </si>
  <si>
    <t xml:space="preserve">•  "TOTAL FEES WITH GST" in PM ONLY has no values in the source file, so GST-inclusive management-fee revenue is estimated on this tab using the GST Rate input cell (C5, default 5%), matching the 5% GST convention already used on the LEASE ONLY tab's own formulas.</t>
  </si>
  <si>
    <t xml:space="preserve">•  "Assigned Leasing Agent" is empty across every PM ONLY row in the source data, so it is omitted from the workload breakdown.</t>
  </si>
  <si>
    <t xml:space="preserve">•  PM ONLY, LEASE ONLY, TENANTS, REALTOR FEES, SENT PM AGREEMENTS, and Len-Onboarded are unchanged from the uploaded file — only this Dashboard tab was added.</t>
  </si>
  <si>
    <t xml:space="preserve">Management Agreement Date</t>
  </si>
  <si>
    <t xml:space="preserve">Service Type</t>
  </si>
  <si>
    <t xml:space="preserve">Owner</t>
  </si>
  <si>
    <t xml:space="preserve">Property</t>
  </si>
  <si>
    <t xml:space="preserve">Unit #</t>
  </si>
  <si>
    <t xml:space="preserve">Assigned Leasing Agent</t>
  </si>
  <si>
    <t xml:space="preserve">Occupancy Status</t>
  </si>
  <si>
    <t xml:space="preserve">Service Status</t>
  </si>
  <si>
    <t xml:space="preserve">Tenant Name</t>
  </si>
  <si>
    <t xml:space="preserve">Email</t>
  </si>
  <si>
    <t xml:space="preserve">Phone Number</t>
  </si>
  <si>
    <t xml:space="preserve">Lease Move In</t>
  </si>
  <si>
    <t xml:space="preserve">Lease Move out</t>
  </si>
  <si>
    <t xml:space="preserve">Leasing Fee</t>
  </si>
  <si>
    <t xml:space="preserve">Rent</t>
  </si>
  <si>
    <t xml:space="preserve">Pet Fee</t>
  </si>
  <si>
    <t xml:space="preserve">Parking</t>
  </si>
  <si>
    <t xml:space="preserve">Storage</t>
  </si>
  <si>
    <t xml:space="preserve">Management Fee %</t>
  </si>
  <si>
    <t xml:space="preserve">Management Fee</t>
  </si>
  <si>
    <t xml:space="preserve">TOTAL FEES WITH GST</t>
  </si>
  <si>
    <t xml:space="preserve">Total Owner Income</t>
  </si>
  <si>
    <t xml:space="preserve">Total Owner disbursement</t>
  </si>
  <si>
    <t xml:space="preserve">Property Management</t>
  </si>
  <si>
    <t xml:space="preserve">2327327 Ontario Inc</t>
  </si>
  <si>
    <t xml:space="preserve">12115 93 Street Northwest, Edmonton, AB T5G 1E9</t>
  </si>
  <si>
    <t xml:space="preserve">MAIN</t>
  </si>
  <si>
    <t xml:space="preserve">Vacant</t>
  </si>
  <si>
    <t xml:space="preserve">Active</t>
  </si>
  <si>
    <t xml:space="preserve">LOWER</t>
  </si>
  <si>
    <t xml:space="preserve">GARAGE</t>
  </si>
  <si>
    <t xml:space="preserve">12117 93 Street Northwest, Edmonton, AB T5G 1E9</t>
  </si>
  <si>
    <t xml:space="preserve">2690036 Alberta Ltd.</t>
  </si>
  <si>
    <t xml:space="preserve">12021 95A Street Northwest, Edmonton, AB T5G 1R6</t>
  </si>
  <si>
    <t xml:space="preserve">Occupied</t>
  </si>
  <si>
    <t xml:space="preserve">Chad Conlon
Dean Mills
</t>
  </si>
  <si>
    <t xml:space="preserve">chadconlon.yukon@gmail.com</t>
  </si>
  <si>
    <t xml:space="preserve">(867) 333-3629</t>
  </si>
  <si>
    <t xml:space="preserve">GARDEN</t>
  </si>
  <si>
    <t xml:space="preserve">2700655 Alberta Ltd.</t>
  </si>
  <si>
    <t xml:space="preserve">8-PLEX BANFF TRAIL Property, 2439 26 Avenue Northwest, Calgary, AB T2M 2H1</t>
  </si>
  <si>
    <t xml:space="preserve">2439-26A </t>
  </si>
  <si>
    <t xml:space="preserve">Seath, Anne Elizabeth</t>
  </si>
  <si>
    <t xml:space="preserve">aeseath@gmail.com</t>
  </si>
  <si>
    <t xml:space="preserve">(587) 938 - 6929</t>
  </si>
  <si>
    <t xml:space="preserve">2439R-26</t>
  </si>
  <si>
    <t xml:space="preserve">Robinson, Logan</t>
  </si>
  <si>
    <t xml:space="preserve">Loganjcrobinson@gmail.com</t>
  </si>
  <si>
    <t xml:space="preserve">(905) 716 - 9968</t>
  </si>
  <si>
    <t xml:space="preserve">2616-24S</t>
  </si>
  <si>
    <t xml:space="preserve">Loader, Lewis
MacDonald, Kaitlyn</t>
  </si>
  <si>
    <t xml:space="preserve">loader.lewis@gmail.com
Kaitlyn.a.macdonald@shaw.ca</t>
  </si>
  <si>
    <t xml:space="preserve">(709) 743 - 9428</t>
  </si>
  <si>
    <t xml:space="preserve">2616R-24</t>
  </si>
  <si>
    <t xml:space="preserve">Savoie, Bjorn</t>
  </si>
  <si>
    <t xml:space="preserve">bjornsavoie@gmail.com</t>
  </si>
  <si>
    <t xml:space="preserve">(403) 923 - 2384</t>
  </si>
  <si>
    <t xml:space="preserve">2618-24S</t>
  </si>
  <si>
    <t xml:space="preserve">Lalanne, Gabrielle</t>
  </si>
  <si>
    <t xml:space="preserve">Gabriellelalanne@hotmail.com</t>
  </si>
  <si>
    <t xml:space="preserve">(438) 451 - 7676</t>
  </si>
  <si>
    <t xml:space="preserve">2618R-24</t>
  </si>
  <si>
    <t xml:space="preserve">Olaniran, Ameera Folashade</t>
  </si>
  <si>
    <t xml:space="preserve">olaniran587@gmail.com</t>
  </si>
  <si>
    <t xml:space="preserve">(403) 506 - 1601</t>
  </si>
  <si>
    <t xml:space="preserve">2620-24S</t>
  </si>
  <si>
    <t xml:space="preserve">Aragao Barros, Mariah
Bakir, Noor</t>
  </si>
  <si>
    <t xml:space="preserve">mariaharagao90@gmail.com
noorbakir@gmail.com</t>
  </si>
  <si>
    <t xml:space="preserve">(587) 917 - 8775
(587) 917 - 6699</t>
  </si>
  <si>
    <t xml:space="preserve">2620R-24 </t>
  </si>
  <si>
    <t xml:space="preserve">Steel, Adison</t>
  </si>
  <si>
    <t xml:space="preserve">adisonsteel16@icloud.com</t>
  </si>
  <si>
    <t xml:space="preserve">(250) 908 - 7779</t>
  </si>
  <si>
    <t xml:space="preserve">2758231 Alberta Inc.</t>
  </si>
  <si>
    <t xml:space="preserve">515 Black Stone BLVD</t>
  </si>
  <si>
    <t xml:space="preserve">UPPER</t>
  </si>
  <si>
    <t xml:space="preserve">Kolton Redekop
April Woodhouse
</t>
  </si>
  <si>
    <t xml:space="preserve">koltonredekop@gmail.com
aprilwest22@gmail.com
</t>
  </si>
  <si>
    <t xml:space="preserve">(250) 826-2699
(250) 826-8318
</t>
  </si>
  <si>
    <t xml:space="preserve">517 Black Stone Boulevard</t>
  </si>
  <si>
    <t xml:space="preserve">Terrell Rankin</t>
  </si>
  <si>
    <t xml:space="preserve">Terrellrankin900@gmail.com</t>
  </si>
  <si>
    <t xml:space="preserve">(780) 238-1793</t>
  </si>
  <si>
    <t xml:space="preserve">Emily Kellett</t>
  </si>
  <si>
    <t xml:space="preserve">emilykellett56@gmail.com</t>
  </si>
  <si>
    <t xml:space="preserve">(780) 226-7446</t>
  </si>
  <si>
    <t xml:space="preserve">519 Black Stone BLVD</t>
  </si>
  <si>
    <t xml:space="preserve">Danielle Brooking
Tylor Watson</t>
  </si>
  <si>
    <t xml:space="preserve">daniellebrooking@gmail.com
twatson16@icloud.com</t>
  </si>
  <si>
    <t xml:space="preserve">(780) 312-4993</t>
  </si>
  <si>
    <t xml:space="preserve">Max Austman</t>
  </si>
  <si>
    <t xml:space="preserve">max.austman@gmail.com</t>
  </si>
  <si>
    <t xml:space="preserve">(780) 225-1319</t>
  </si>
  <si>
    <t xml:space="preserve">521 Black Stone BLVD</t>
  </si>
  <si>
    <t xml:space="preserve">Chelsey Tychowsky
Austin Young</t>
  </si>
  <si>
    <t xml:space="preserve">chelsey.tychkowsky@gmail.com
austin_jyoung@outlook.com</t>
  </si>
  <si>
    <t xml:space="preserve">(780) 239-5665
(587) 937-4130</t>
  </si>
  <si>
    <t xml:space="preserve">Nathan Theriault</t>
  </si>
  <si>
    <t xml:space="preserve">josephm4347@gmail.com</t>
  </si>
  <si>
    <t xml:space="preserve">523 Black Stone BLVD</t>
  </si>
  <si>
    <t xml:space="preserve">Jayna May
Kayden Ewen</t>
  </si>
  <si>
    <t xml:space="preserve">jayna2258@gmail.com
Kaydenewenmjk@gmail.com</t>
  </si>
  <si>
    <t xml:space="preserve">(780) 901-6381
(403) 373-7530</t>
  </si>
  <si>
    <t xml:space="preserve">525 Black Stone BLVD</t>
  </si>
  <si>
    <t xml:space="preserve">Leonard Flinn
Andrew Wright
Kristin Flinn</t>
  </si>
  <si>
    <t xml:space="preserve">len_flinn@yahoo.com
wreckitwright@gmail.com</t>
  </si>
  <si>
    <t xml:space="preserve">(403) 872-1182
(587) 591-3591</t>
  </si>
  <si>
    <t xml:space="preserve">Sumandeep Kaur
Deepinder Sidhu</t>
  </si>
  <si>
    <t xml:space="preserve">ksumandeepg@gmail.com
sidhudeepinder47@gmail.com</t>
  </si>
  <si>
    <t xml:space="preserve">527 Black Stone Boulevard</t>
  </si>
  <si>
    <t xml:space="preserve">Jay Emms</t>
  </si>
  <si>
    <t xml:space="preserve">jemms@primemoversinc.ca</t>
  </si>
  <si>
    <t xml:space="preserve">(403) 526-8757</t>
  </si>
  <si>
    <t xml:space="preserve">Emily Greenwood</t>
  </si>
  <si>
    <t xml:space="preserve">emilygreenwood01@gmail.com</t>
  </si>
  <si>
    <t xml:space="preserve">(587) 337-8864</t>
  </si>
  <si>
    <t xml:space="preserve">529 Black Stone BLVD</t>
  </si>
  <si>
    <t xml:space="preserve">Kennedy Anshelm</t>
  </si>
  <si>
    <t xml:space="preserve">k.faye.98@gmail.com</t>
  </si>
  <si>
    <t xml:space="preserve">(780) 217-7724</t>
  </si>
  <si>
    <t xml:space="preserve">Autumn Flanagan</t>
  </si>
  <si>
    <t xml:space="preserve">autumnflanagan12@gmail.com</t>
  </si>
  <si>
    <t xml:space="preserve">(403) 848-4566</t>
  </si>
  <si>
    <t xml:space="preserve">531 Black Stone BLVD</t>
  </si>
  <si>
    <t xml:space="preserve">Amanda Fakkeldy
Roland Doherty</t>
  </si>
  <si>
    <t xml:space="preserve">amandafakkeldy@gmail.com
rollietheminer@gmail.com</t>
  </si>
  <si>
    <t xml:space="preserve">(825) 556-6767</t>
  </si>
  <si>
    <t xml:space="preserve">Ian Vanwoudenberg
Alysha Amber</t>
  </si>
  <si>
    <t xml:space="preserve">ianvan2486@gmail.com
alyshaambler@gmail.com</t>
  </si>
  <si>
    <t xml:space="preserve">(780) 504-4375
(780) 385-1454</t>
  </si>
  <si>
    <t xml:space="preserve">533 Blackstone BLVD</t>
  </si>
  <si>
    <t xml:space="preserve">Cheri Davis
Sheldon MacDonald</t>
  </si>
  <si>
    <t xml:space="preserve">cheri.lynne.davis@outlook.com
HAIEMMJVRLAMANG@GMAIL.COM</t>
  </si>
  <si>
    <t xml:space="preserve">(587) 937-1820
(587) 586-1141</t>
  </si>
  <si>
    <t xml:space="preserve">537 Black Stone BLVD</t>
  </si>
  <si>
    <t xml:space="preserve">Breeanna Blakeburn
Jesse Webb</t>
  </si>
  <si>
    <t xml:space="preserve">blakeburnwebb@gmail.com
Jessewebb718@gmail.com</t>
  </si>
  <si>
    <t xml:space="preserve">(780) 335-5554
(780) 360-9988</t>
  </si>
  <si>
    <t xml:space="preserve">Octavia Johnson
Maciej Adamski</t>
  </si>
  <si>
    <t xml:space="preserve">joctavia736@gmail.com
maciejadamski@gmail.com</t>
  </si>
  <si>
    <t xml:space="preserve">(780) 216-2423
(431) 277-9510</t>
  </si>
  <si>
    <t xml:space="preserve">539 Black Stone BLVD</t>
  </si>
  <si>
    <t xml:space="preserve">Joseph McGinnis</t>
  </si>
  <si>
    <t xml:space="preserve">deejoemcginnis@gmail.com</t>
  </si>
  <si>
    <t xml:space="preserve">(587) 346-9599</t>
  </si>
  <si>
    <t xml:space="preserve">Kirsten Wicks
Jacob Cleroux</t>
  </si>
  <si>
    <t xml:space="preserve">kirikmw@gmail.com
jasper8cleroux@gmail.com</t>
  </si>
  <si>
    <t xml:space="preserve">(780) 297-1419</t>
  </si>
  <si>
    <t xml:space="preserve">541 Black Stone BLVD</t>
  </si>
  <si>
    <t xml:space="preserve">Melissa Jean Baldecasa</t>
  </si>
  <si>
    <t xml:space="preserve">Melody Beaumont</t>
  </si>
  <si>
    <t xml:space="preserve">melvis04@yahoo.ca</t>
  </si>
  <si>
    <t xml:space="preserve">(780) 709-5772</t>
  </si>
  <si>
    <t xml:space="preserve">543 Black Stone BLVD</t>
  </si>
  <si>
    <t xml:space="preserve">Katarina Bisanz
Ryan Wilson</t>
  </si>
  <si>
    <t xml:space="preserve">katarinabisanz2433@gmail.com
rgp.wilson95@gmail.com</t>
  </si>
  <si>
    <t xml:space="preserve">(780) 235-0163
(825) 975-9789</t>
  </si>
  <si>
    <t xml:space="preserve">Thatcher MacGregor
Hayley Marwood</t>
  </si>
  <si>
    <t xml:space="preserve">macgregorthatcher45@gmail.com
hmarwood58@shaw.ca</t>
  </si>
  <si>
    <t xml:space="preserve">(780) 881-9177
(587) 988-6056</t>
  </si>
  <si>
    <t xml:space="preserve">545 Black Stone BLVD</t>
  </si>
  <si>
    <t xml:space="preserve">Lori Ann Backlin
Shane Bryeide</t>
  </si>
  <si>
    <t xml:space="preserve">lbacklin2014@gmail.com</t>
  </si>
  <si>
    <t xml:space="preserve">(780) 246-3202</t>
  </si>
  <si>
    <t xml:space="preserve">Devon Donovan</t>
  </si>
  <si>
    <t xml:space="preserve">donovandevon85@gmail.com</t>
  </si>
  <si>
    <t xml:space="preserve">(587) 873-7098</t>
  </si>
  <si>
    <t xml:space="preserve">547 Black Stone BLVD</t>
  </si>
  <si>
    <t xml:space="preserve">Happiness Nkereuwem</t>
  </si>
  <si>
    <t xml:space="preserve">happy2000ng@yahoo.com</t>
  </si>
  <si>
    <t xml:space="preserve">(613) 302-8929</t>
  </si>
  <si>
    <t xml:space="preserve">549 Blackstone BLVD</t>
  </si>
  <si>
    <t xml:space="preserve">Michelle Schaffer
Harrison Darling</t>
  </si>
  <si>
    <t xml:space="preserve">michelle.schaffer94@gmail.com
harri.1995@hotmail.com</t>
  </si>
  <si>
    <t xml:space="preserve">(587) 784-1014</t>
  </si>
  <si>
    <t xml:space="preserve">Ahmed Abouelgoud</t>
  </si>
  <si>
    <t xml:space="preserve">ahmedeslamattiya2006@gmail.com</t>
  </si>
  <si>
    <t xml:space="preserve">(368) 299-7030</t>
  </si>
  <si>
    <t xml:space="preserve">2814472 Alberta Ltd.</t>
  </si>
  <si>
    <t xml:space="preserve">3310 50 Avenue,	Lloydminster	AB, T9V 0V6</t>
  </si>
  <si>
    <t xml:space="preserve">Bernard La Shorn</t>
  </si>
  <si>
    <t xml:space="preserve">labernard01@gmail.com</t>
  </si>
  <si>
    <t xml:space="preserve">(416) 803-9376</t>
  </si>
  <si>
    <t xml:space="preserve">Austin Beliveau</t>
  </si>
  <si>
    <t xml:space="preserve">austin.belliveau74@gmail.com</t>
  </si>
  <si>
    <t xml:space="preserve">(306) 210-9970</t>
  </si>
  <si>
    <t xml:space="preserve">Terry Burns</t>
  </si>
  <si>
    <t xml:space="preserve">Cliff Tibideau</t>
  </si>
  <si>
    <t xml:space="preserve">thibaultclifton@gmail.com</t>
  </si>
  <si>
    <t xml:space="preserve">(780) 808-6061</t>
  </si>
  <si>
    <t xml:space="preserve">James Tenant</t>
  </si>
  <si>
    <t xml:space="preserve">(639) 536-4898</t>
  </si>
  <si>
    <t xml:space="preserve">Don McArthur</t>
  </si>
  <si>
    <t xml:space="preserve">beth_macarthur@hotmail.com</t>
  </si>
  <si>
    <t xml:space="preserve">(306) 830-5849</t>
  </si>
  <si>
    <t xml:space="preserve">Byron Fiander</t>
  </si>
  <si>
    <t xml:space="preserve">fianderbyron228@gmail.com</t>
  </si>
  <si>
    <t xml:space="preserve">(306) 830-9024</t>
  </si>
  <si>
    <t xml:space="preserve">Ritu Guarav</t>
  </si>
  <si>
    <t xml:space="preserve">ritug2346@gmail.com</t>
  </si>
  <si>
    <t xml:space="preserve">(514) 953-4875</t>
  </si>
  <si>
    <t xml:space="preserve">Greg Mitchell</t>
  </si>
  <si>
    <t xml:space="preserve">(709) 572-4454</t>
  </si>
  <si>
    <t xml:space="preserve">Russ Beckley</t>
  </si>
  <si>
    <t xml:space="preserve">beckleyruss2@gmail.com</t>
  </si>
  <si>
    <t xml:space="preserve">(306) 830-6409</t>
  </si>
  <si>
    <t xml:space="preserve">Kevin Buckley</t>
  </si>
  <si>
    <t xml:space="preserve">(306) 821-7378</t>
  </si>
  <si>
    <t xml:space="preserve">Linda Coffey</t>
  </si>
  <si>
    <t xml:space="preserve">6361123@gmail.com</t>
  </si>
  <si>
    <t xml:space="preserve">(587) 937-8879</t>
  </si>
  <si>
    <t xml:space="preserve">Ibrahim Kassim</t>
  </si>
  <si>
    <t xml:space="preserve">ibrahimKassimb2@yahoo.com</t>
  </si>
  <si>
    <t xml:space="preserve">(306) 351-0764</t>
  </si>
  <si>
    <t xml:space="preserve">Tyuszu Kulyimune</t>
  </si>
  <si>
    <t xml:space="preserve">(403) 597-8054</t>
  </si>
  <si>
    <t xml:space="preserve">Lachlan Watt</t>
  </si>
  <si>
    <t xml:space="preserve">Lachlanantrewwatt@gmail.com</t>
  </si>
  <si>
    <t xml:space="preserve">Michael Yaskow</t>
  </si>
  <si>
    <t xml:space="preserve">myaskow@live.com</t>
  </si>
  <si>
    <t xml:space="preserve">(780) 870-1967</t>
  </si>
  <si>
    <t xml:space="preserve">Mindy Smith</t>
  </si>
  <si>
    <t xml:space="preserve">mindy16ssmith@gmail.com</t>
  </si>
  <si>
    <t xml:space="preserve">(306) 830-1508</t>
  </si>
  <si>
    <t xml:space="preserve">Eathan Hanlon</t>
  </si>
  <si>
    <t xml:space="preserve">hanlon.ethan22@gmail.com</t>
  </si>
  <si>
    <t xml:space="preserve">(519) 949-8538</t>
  </si>
  <si>
    <t xml:space="preserve">Ahdviziz Abdulle</t>
  </si>
  <si>
    <t xml:space="preserve">flymunogo@gmail.com</t>
  </si>
  <si>
    <t xml:space="preserve">(587) 985-9200</t>
  </si>
  <si>
    <t xml:space="preserve">Yunnis Ahmad</t>
  </si>
  <si>
    <t xml:space="preserve">(587) 644-6899</t>
  </si>
  <si>
    <t xml:space="preserve">mr Mulugata</t>
  </si>
  <si>
    <t xml:space="preserve">mulugata78@hotmail.com</t>
  </si>
  <si>
    <t xml:space="preserve">(780) 240-9330</t>
  </si>
  <si>
    <t xml:space="preserve">Richard Gibwski</t>
  </si>
  <si>
    <t xml:space="preserve">richardgilowski07@gmail.com</t>
  </si>
  <si>
    <t xml:space="preserve">(825) 965-3799</t>
  </si>
  <si>
    <t xml:space="preserve">Abeer Ibrahim</t>
  </si>
  <si>
    <t xml:space="preserve">167 Penbrooke Close Southeast, Calgary, AB, T2A 3N9</t>
  </si>
  <si>
    <t xml:space="preserve">SFH</t>
  </si>
  <si>
    <t xml:space="preserve">Agnes Gulyas &amp; Geza Toth</t>
  </si>
  <si>
    <t xml:space="preserve">406-626 14 Avenue Southwest, Calgary, AB, T2R 0X4</t>
  </si>
  <si>
    <t xml:space="preserve">Swain, Daisy</t>
  </si>
  <si>
    <t xml:space="preserve">daisyswain@live.com</t>
  </si>
  <si>
    <t xml:space="preserve">(403) 554 - 5130</t>
  </si>
  <si>
    <t xml:space="preserve">20295 Seton Way Southeast, Suite 3401, Calgary	AB, T3M 3X3</t>
  </si>
  <si>
    <t xml:space="preserve">Thibeau, Jade</t>
  </si>
  <si>
    <t xml:space="preserve">Jadeanddonny@gmail.com</t>
  </si>
  <si>
    <t xml:space="preserve">(403) 903 - 9563</t>
  </si>
  <si>
    <t xml:space="preserve">150 min. Management Fee</t>
  </si>
  <si>
    <t xml:space="preserve">???</t>
  </si>
  <si>
    <t xml:space="preserve">Aishwarya Ilangovan</t>
  </si>
  <si>
    <t xml:space="preserve">96 Saddleback Way N.E., Calgary, AB, T3J 4K5</t>
  </si>
  <si>
    <t xml:space="preserve">Dhillon, Karan
Singh, Sumandeep</t>
  </si>
  <si>
    <t xml:space="preserve">krndhillon23@gmail.com
sumandeepsingh3944@gmail.com</t>
  </si>
  <si>
    <t xml:space="preserve">(825) 883 - 3571</t>
  </si>
  <si>
    <t xml:space="preserve">Amarjit Bhatti, Talwinder Bhatti</t>
  </si>
  <si>
    <t xml:space="preserve">63 Corner Glen Crois. NE #1501, 63 Corner Glen Crescent Northeast, Calgary, AB, T3N 2R7</t>
  </si>
  <si>
    <t xml:space="preserve">Amrita Chhetri</t>
  </si>
  <si>
    <t xml:space="preserve">8960 Cityscape Drive NE, Calgary, AB T3N</t>
  </si>
  <si>
    <t xml:space="preserve">Terminated</t>
  </si>
  <si>
    <t xml:space="preserve">Anam Zaheer</t>
  </si>
  <si>
    <t xml:space="preserve">7638 27 Street Southeast</t>
  </si>
  <si>
    <t xml:space="preserve">Anil Sharma</t>
  </si>
  <si>
    <t xml:space="preserve">14216 Evergreen Street Southwest</t>
  </si>
  <si>
    <t xml:space="preserve">Little, Jonathan</t>
  </si>
  <si>
    <t xml:space="preserve">johnny.p.little@gmail.com</t>
  </si>
  <si>
    <t xml:space="preserve">Mullins, Renee</t>
  </si>
  <si>
    <t xml:space="preserve">arerossi54@gmail.com</t>
  </si>
  <si>
    <t xml:space="preserve">(403) 400 - 4650</t>
  </si>
  <si>
    <t xml:space="preserve">96 Arbour Crest Dr NW</t>
  </si>
  <si>
    <t xml:space="preserve">Singh, Sukhvinder</t>
  </si>
  <si>
    <t xml:space="preserve">sukhvindersodhi0@gmail.com</t>
  </si>
  <si>
    <t xml:space="preserve">Sept 01, 2026</t>
  </si>
  <si>
    <t xml:space="preserve">void cheque and pad form</t>
  </si>
  <si>
    <t xml:space="preserve">Razzaq, Fajad</t>
  </si>
  <si>
    <t xml:space="preserve">fahad.razzaq@hotmail.com</t>
  </si>
  <si>
    <t xml:space="preserve">updated lease agreement, property photo, void check, pad form</t>
  </si>
  <si>
    <t xml:space="preserve">Anjelic Protacio</t>
  </si>
  <si>
    <t xml:space="preserve">38 Hotchkiss Dr. SE</t>
  </si>
  <si>
    <t xml:space="preserve">Petersen, Reuben</t>
  </si>
  <si>
    <t xml:space="preserve">reubenater@hotmail.com</t>
  </si>
  <si>
    <t xml:space="preserve">(403) 370 - 8081</t>
  </si>
  <si>
    <t xml:space="preserve">Christine Faith Cadayona</t>
  </si>
  <si>
    <t xml:space="preserve">UPPER-223 Savanna Way NE, Calgary, AB T3J 0Z9</t>
  </si>
  <si>
    <t xml:space="preserve">Daniel Moon</t>
  </si>
  <si>
    <t xml:space="preserve">38 Spring Mews SW, Calgary, AB T3H 3V2</t>
  </si>
  <si>
    <t xml:space="preserve">EMYR Holdings Inc.</t>
  </si>
  <si>
    <t xml:space="preserve">1408 Renfrew Drive NE</t>
  </si>
  <si>
    <t xml:space="preserve">Draude, Carolyn
Malik, Ajay</t>
  </si>
  <si>
    <t xml:space="preserve">cdraude23@gmail.com
ajaysmalik.878@gmail.com</t>
  </si>
  <si>
    <t xml:space="preserve">(587) 576 - 7508
(825) 488 - 4514</t>
  </si>
  <si>
    <t xml:space="preserve">Flores, Sindy
Acosta, Hernan Javier
Chevez, Deborah</t>
  </si>
  <si>
    <t xml:space="preserve">sindyflo88@gmail.com
j.dez.acosta@hotmail.com
deborahorbelisa7@gmail.com</t>
  </si>
  <si>
    <t xml:space="preserve">(403) 464 - 4929
(403) 803 - 8323
(403) 803 - 8323</t>
  </si>
  <si>
    <t xml:space="preserve">Pearce, Susan</t>
  </si>
  <si>
    <t xml:space="preserve">susanpearce5891@gmail.com</t>
  </si>
  <si>
    <t xml:space="preserve">(825) 561 - 5222</t>
  </si>
  <si>
    <t xml:space="preserve">Ross, Brandi</t>
  </si>
  <si>
    <t xml:space="preserve">rossbrandi90@gmail.com</t>
  </si>
  <si>
    <t xml:space="preserve">(403) 333 - 8921</t>
  </si>
  <si>
    <t xml:space="preserve">101R</t>
  </si>
  <si>
    <t xml:space="preserve">Francis, Jordyn
Norris, Madison</t>
  </si>
  <si>
    <t xml:space="preserve">jordynfrancis524@gmail.com
maddie.norris@gmail.com</t>
  </si>
  <si>
    <t xml:space="preserve">(587) 435 - 7643
(403) 827 - 2264</t>
  </si>
  <si>
    <t xml:space="preserve">102R</t>
  </si>
  <si>
    <t xml:space="preserve">Abdulmajeed, Musa
Borsanyiova, Daniela</t>
  </si>
  <si>
    <t xml:space="preserve">adedayoabdulmajeed@gmail.com
Daniela.borsanyiova@gmail.com</t>
  </si>
  <si>
    <t xml:space="preserve">(403) 369 - 6383</t>
  </si>
  <si>
    <t xml:space="preserve">103R</t>
  </si>
  <si>
    <t xml:space="preserve">Opperman, Kiara
Torres, Vinze</t>
  </si>
  <si>
    <t xml:space="preserve">kiaraoppermanj@gmail.com
Torresvinze@gmail.com</t>
  </si>
  <si>
    <t xml:space="preserve">(403) 633 - 6400
(403) 404 - 1829</t>
  </si>
  <si>
    <t xml:space="preserve">201R</t>
  </si>
  <si>
    <t xml:space="preserve">Kellogg, David</t>
  </si>
  <si>
    <t xml:space="preserve">david.w.kellogg@gmail.com</t>
  </si>
  <si>
    <t xml:space="preserve">(587) 700 - 3478</t>
  </si>
  <si>
    <t xml:space="preserve">202R</t>
  </si>
  <si>
    <t xml:space="preserve">Wong, Liam</t>
  </si>
  <si>
    <t xml:space="preserve">lwonger87@gmail.com</t>
  </si>
  <si>
    <t xml:space="preserve">(587) 988-4507</t>
  </si>
  <si>
    <t xml:space="preserve">Gill Real Estate Asset Management</t>
  </si>
  <si>
    <t xml:space="preserve">2201 Muckleplum Crescent Southwest</t>
  </si>
  <si>
    <t xml:space="preserve">Ashlee Schuster</t>
  </si>
  <si>
    <t xml:space="preserve">ashleeschuster@niskuford.ca</t>
  </si>
  <si>
    <t xml:space="preserve">(780) 289-9939</t>
  </si>
  <si>
    <t xml:space="preserve">Morgan Anderson</t>
  </si>
  <si>
    <t xml:space="preserve">morganandersonbusiness@gmail.com</t>
  </si>
  <si>
    <t xml:space="preserve">(604) 860-9827</t>
  </si>
  <si>
    <t xml:space="preserve">2203 Muckleplum Crescent Southwest</t>
  </si>
  <si>
    <t xml:space="preserve">Derek Kinley</t>
  </si>
  <si>
    <t xml:space="preserve">derek.kinley60@gmail.com</t>
  </si>
  <si>
    <t xml:space="preserve">(204) 721-1922</t>
  </si>
  <si>
    <t xml:space="preserve">Dustin Deep</t>
  </si>
  <si>
    <t xml:space="preserve">dustindeep218@gmail.com</t>
  </si>
  <si>
    <t xml:space="preserve">Hussein Saleem Parpia</t>
  </si>
  <si>
    <t xml:space="preserve">155 Walgrove Way SE</t>
  </si>
  <si>
    <t xml:space="preserve">Wegener, Nicolas</t>
  </si>
  <si>
    <t xml:space="preserve">wegener81@gmail.com</t>
  </si>
  <si>
    <t xml:space="preserve">Kellie Harrisson</t>
  </si>
  <si>
    <t xml:space="preserve">16319 90 Street Northwest</t>
  </si>
  <si>
    <t xml:space="preserve">Asceel Kanash
Moh'd Ober</t>
  </si>
  <si>
    <t xml:space="preserve">asceelkanash93@gmail.com</t>
  </si>
  <si>
    <t xml:space="preserve">(780) 680-5274</t>
  </si>
  <si>
    <t xml:space="preserve">Kimberley Horne</t>
  </si>
  <si>
    <t xml:space="preserve">60 Skyview Ranch Blvd NE #1603, 60 Skyview Ranch Boulevard Northeast</t>
  </si>
  <si>
    <t xml:space="preserve">Bhusary, Aryan
Tung, Inderpal Singh</t>
  </si>
  <si>
    <t xml:space="preserve">abhusary@gmail.com
Inderpaltung3@gmail.com</t>
  </si>
  <si>
    <t xml:space="preserve">(604) 862 - 7274
(604) 935 - 0978</t>
  </si>
  <si>
    <t xml:space="preserve">150 min management Fee</t>
  </si>
  <si>
    <t xml:space="preserve">Laukerr Properties Inc.</t>
  </si>
  <si>
    <t xml:space="preserve">8-PLEX BOWNESS PROPERTY, 4811 81 STREET NW</t>
  </si>
  <si>
    <t xml:space="preserve">4805B</t>
  </si>
  <si>
    <t xml:space="preserve">Voikov, Yaroslav</t>
  </si>
  <si>
    <t xml:space="preserve">yaroslav.voykov@gmail.com</t>
  </si>
  <si>
    <t xml:space="preserve">(825) 288 - 4044</t>
  </si>
  <si>
    <t xml:space="preserve">4807B</t>
  </si>
  <si>
    <t xml:space="preserve">McAninch, Julia</t>
  </si>
  <si>
    <t xml:space="preserve">juliamc@live.ca</t>
  </si>
  <si>
    <t xml:space="preserve">(905) 325 - 1325</t>
  </si>
  <si>
    <t xml:space="preserve">4809B</t>
  </si>
  <si>
    <t xml:space="preserve">Schuetz, Alexia</t>
  </si>
  <si>
    <t xml:space="preserve">alexialynjacobs@gmail.com</t>
  </si>
  <si>
    <t xml:space="preserve">8304B</t>
  </si>
  <si>
    <t xml:space="preserve">NKANU, MBOTE-CHRIST</t>
  </si>
  <si>
    <t xml:space="preserve">christynkanu58@gmail.com</t>
  </si>
  <si>
    <t xml:space="preserve">(825) 962 - 8119</t>
  </si>
  <si>
    <t xml:space="preserve">4805-81</t>
  </si>
  <si>
    <t xml:space="preserve">Fraser, Amanda</t>
  </si>
  <si>
    <t xml:space="preserve">amandafraser67@gmail.com</t>
  </si>
  <si>
    <t xml:space="preserve">(403) 805 - 1551</t>
  </si>
  <si>
    <t xml:space="preserve">4807-81</t>
  </si>
  <si>
    <t xml:space="preserve">Butterfield, Jessica</t>
  </si>
  <si>
    <t xml:space="preserve">j.lynn04@live.com</t>
  </si>
  <si>
    <t xml:space="preserve">(403) 970 - 8333</t>
  </si>
  <si>
    <t xml:space="preserve">4809-81</t>
  </si>
  <si>
    <t xml:space="preserve">Grover, Jaydon
Surina, Natasha</t>
  </si>
  <si>
    <t xml:space="preserve">jaydongrover@outlook.com
natashalynnsurina@gmail.com</t>
  </si>
  <si>
    <t xml:space="preserve">(587) 433 - 4795
(403) 485 - 1819</t>
  </si>
  <si>
    <t xml:space="preserve">8304-47</t>
  </si>
  <si>
    <t xml:space="preserve">Boek, Werna
Maurer, Ava</t>
  </si>
  <si>
    <t xml:space="preserve">werna.maurer@gmail.com</t>
  </si>
  <si>
    <t xml:space="preserve">(403) 875 - 8657</t>
  </si>
  <si>
    <t xml:space="preserve">Marianna Jankowski</t>
  </si>
  <si>
    <t xml:space="preserve">1521 26 Avenue SW, Unit 303</t>
  </si>
  <si>
    <t xml:space="preserve">Dedek, Christopher
Iftody, Lindsay</t>
  </si>
  <si>
    <t xml:space="preserve">cdedek@gmail.com
lindsayiftody@gmail.com</t>
  </si>
  <si>
    <t xml:space="preserve">(613) 261 - 5975</t>
  </si>
  <si>
    <t xml:space="preserve">Maureen Valenzuela</t>
  </si>
  <si>
    <t xml:space="preserve">7835 Fairmount Drive Southeast</t>
  </si>
  <si>
    <t xml:space="preserve">Naikpai, Maria
Saleem, Mohammad</t>
  </si>
  <si>
    <t xml:space="preserve">marianaikpai@gmail.com
saleemnaikpai@yahoo.com</t>
  </si>
  <si>
    <t xml:space="preserve">(587) 579 - 8304
(403) 978 - 2004</t>
  </si>
  <si>
    <t xml:space="preserve">Hood, Janessa</t>
  </si>
  <si>
    <t xml:space="preserve">jhood569@outlook.com</t>
  </si>
  <si>
    <t xml:space="preserve">(403) 992 - 6602</t>
  </si>
  <si>
    <t xml:space="preserve">Nadia Alexander</t>
  </si>
  <si>
    <t xml:space="preserve">#1318-63 Corner Glen Crescent Northeast</t>
  </si>
  <si>
    <t xml:space="preserve">Cando, Sherry
Reid, Sascha</t>
  </si>
  <si>
    <t xml:space="preserve">sherryanne.antonio@yahoo.com
SaschaReid.48@gmail.com</t>
  </si>
  <si>
    <t xml:space="preserve">Nexxt Door Homes Inc.</t>
  </si>
  <si>
    <t xml:space="preserve">2240 35 ST SW,Calgary, AB T3E 2X8 (Banff Trail Transfer)</t>
  </si>
  <si>
    <t xml:space="preserve">Nicole Sukhomlinova &amp; Shayal Rao</t>
  </si>
  <si>
    <t xml:space="preserve">4347 Seton Drive SE</t>
  </si>
  <si>
    <t xml:space="preserve">Heaslip, Chad
O'Neill, Kaylynn</t>
  </si>
  <si>
    <t xml:space="preserve">heasliq@hotmail.com
kaylynn.oneill@gmail.com</t>
  </si>
  <si>
    <t xml:space="preserve">(403) 540 - 0518
(587) 434 - 2199</t>
  </si>
  <si>
    <t xml:space="preserve">508-836 15 Ave SW</t>
  </si>
  <si>
    <t xml:space="preserve">Guardado Ortiz, Kelly Medeleine
Spadafora, Francesco</t>
  </si>
  <si>
    <t xml:space="preserve">kelly.m.g.ortiz@gmail.com
spadafora.francesco26@gmail.com</t>
  </si>
  <si>
    <t xml:space="preserve">(587) 973 - 4282
(403) 333 - 5107</t>
  </si>
  <si>
    <t xml:space="preserve">Nikki Nikaein</t>
  </si>
  <si>
    <t xml:space="preserve">6303 Bow Crescent Northwest, Calgary, AB T3B 2C4</t>
  </si>
  <si>
    <t xml:space="preserve">Obianuju Ananwude</t>
  </si>
  <si>
    <t xml:space="preserve">1041 Creekview Drive Southwest, Calgary, AB T2X 1K4</t>
  </si>
  <si>
    <t xml:space="preserve">Pravin Patil &amp; Rejeshree Patil</t>
  </si>
  <si>
    <t xml:space="preserve">47 Yorkstone Manor SE</t>
  </si>
  <si>
    <t xml:space="preserve">Heerema, Matthew
Tkachul, Alla</t>
  </si>
  <si>
    <t xml:space="preserve">matthew.heerema@gmail.com
allochka161998@gmail.com</t>
  </si>
  <si>
    <t xml:space="preserve">(587) 917 - 8609
(204) 930 - 0800</t>
  </si>
  <si>
    <t xml:space="preserve">Chaudhari, Nimisha Nitin</t>
  </si>
  <si>
    <t xml:space="preserve">nchaudhari0725@gmail.com</t>
  </si>
  <si>
    <t xml:space="preserve">(403) 951-1410</t>
  </si>
  <si>
    <t xml:space="preserve">Rakhat Sulaimanova</t>
  </si>
  <si>
    <t xml:space="preserve">110 Wolf Creek Rise Southeast, Calgary, AB T2X 4Y9</t>
  </si>
  <si>
    <t xml:space="preserve">Ramanan Thurainayagam</t>
  </si>
  <si>
    <t xml:space="preserve">#446 - 110 18A ST NW</t>
  </si>
  <si>
    <t xml:space="preserve">Temple, Kara</t>
  </si>
  <si>
    <t xml:space="preserve">Kara-temple@hotmail.com</t>
  </si>
  <si>
    <t xml:space="preserve">Rocelyn Alcazar</t>
  </si>
  <si>
    <t xml:space="preserve">434 Crystal Creek Link</t>
  </si>
  <si>
    <t xml:space="preserve">436 Crystal Creek Link</t>
  </si>
  <si>
    <t xml:space="preserve">Sergio Silva / Fabiola Riquelme</t>
  </si>
  <si>
    <t xml:space="preserve">13307 135 Street Northwest</t>
  </si>
  <si>
    <t xml:space="preserve">Stefano Silva
Mayada McLean</t>
  </si>
  <si>
    <t xml:space="preserve">stefano.silva99@gmail.com
mayadamclean@hotmail.com</t>
  </si>
  <si>
    <t xml:space="preserve">Ashliegh Laboucan Williams</t>
  </si>
  <si>
    <t xml:space="preserve">ashleylaboucan01@gmail.com</t>
  </si>
  <si>
    <t xml:space="preserve">(587) 200-2077</t>
  </si>
  <si>
    <t xml:space="preserve">Shawn Bullen</t>
  </si>
  <si>
    <t xml:space="preserve">76 Hidden Point Northwest</t>
  </si>
  <si>
    <t xml:space="preserve">Shawn Kandola</t>
  </si>
  <si>
    <t xml:space="preserve">286 Auburn Crest Way Southeast</t>
  </si>
  <si>
    <t xml:space="preserve">Dolinskyy, Mykola
Pavlovets, Iryna</t>
  </si>
  <si>
    <t xml:space="preserve">Dolinskyycan@gmail.com
ipavlovets.can@gmail.com</t>
  </si>
  <si>
    <t xml:space="preserve">(825) 288 - 7779
(825) 288 - 7780</t>
  </si>
  <si>
    <t xml:space="preserve">Sherrie Webb</t>
  </si>
  <si>
    <t xml:space="preserve">14409 106 Avenue Northwest</t>
  </si>
  <si>
    <t xml:space="preserve">Brody SummerSkill
Sidney Mehain</t>
  </si>
  <si>
    <t xml:space="preserve">sidney.mehain1999@gmail.com</t>
  </si>
  <si>
    <t xml:space="preserve">(778) 877-2884</t>
  </si>
  <si>
    <t xml:space="preserve">Shesan Govindasamy</t>
  </si>
  <si>
    <t xml:space="preserve">8015 131A Avenue Northwest</t>
  </si>
  <si>
    <t xml:space="preserve">Ashley Cooper
Tammy Cooper</t>
  </si>
  <si>
    <t xml:space="preserve">calamity_jane03@hotmail.com</t>
  </si>
  <si>
    <t xml:space="preserve">(587) 568-4841</t>
  </si>
  <si>
    <t xml:space="preserve">Jagmeet Singh</t>
  </si>
  <si>
    <t xml:space="preserve">jsingh66019@gmail.com</t>
  </si>
  <si>
    <t xml:space="preserve">(437) 445-9888</t>
  </si>
  <si>
    <t xml:space="preserve">Siva Nanthan Sunderam</t>
  </si>
  <si>
    <t xml:space="preserve">296 Huxbury View Northeast</t>
  </si>
  <si>
    <t xml:space="preserve">Sukhjinder Ghuman</t>
  </si>
  <si>
    <t xml:space="preserve">UPPER - 388 Hotchkiss Drive Southeast, Calgary, AB T3S 0M9</t>
  </si>
  <si>
    <t xml:space="preserve">Sukhpreet Gill</t>
  </si>
  <si>
    <t xml:space="preserve">19741 44 Street Southeast, Seton Drive</t>
  </si>
  <si>
    <t xml:space="preserve">Tomasir, Tina
Tomasir, Vedran</t>
  </si>
  <si>
    <t xml:space="preserve">Tina.tomasir@gmail.com
tomasir2024@outlook.com</t>
  </si>
  <si>
    <t xml:space="preserve">(403) 689 - 6577
(403) 483 - 8269</t>
  </si>
  <si>
    <t xml:space="preserve">235 Auburn Bay Heights Southeast</t>
  </si>
  <si>
    <t xml:space="preserve">Maika, Alina
Maika, Mykola</t>
  </si>
  <si>
    <t xml:space="preserve">alinavalorko01@gmail.com
mikola.mayka@gmail.com</t>
  </si>
  <si>
    <t xml:space="preserve">(647) 571 - 8576
(647) 640 - 4130</t>
  </si>
  <si>
    <t xml:space="preserve">Sun Rose River Ltd.</t>
  </si>
  <si>
    <t xml:space="preserve">232 Ricardo Ranch Avenue Southeast</t>
  </si>
  <si>
    <t xml:space="preserve">Kay, Lara
Simon-Kay, Daniella</t>
  </si>
  <si>
    <t xml:space="preserve">Danniellakay@hotmail.com</t>
  </si>
  <si>
    <t xml:space="preserve">(403) 671 - 8777</t>
  </si>
  <si>
    <t xml:space="preserve">232B</t>
  </si>
  <si>
    <t xml:space="preserve">Adeyiga, Olasanmi Uthman</t>
  </si>
  <si>
    <t xml:space="preserve">olasanmiade@gmail.com</t>
  </si>
  <si>
    <t xml:space="preserve">(368) 887 - 3295</t>
  </si>
  <si>
    <t xml:space="preserve">236 Ricardo Ranch Avenue Southeast</t>
  </si>
  <si>
    <t xml:space="preserve">Fogarty, Grace
Fogarty, Myles</t>
  </si>
  <si>
    <t xml:space="preserve">gracelane16@gmail.com
myles.fogarty@yahoo.com</t>
  </si>
  <si>
    <t xml:space="preserve">(403) 493 - 8822
(403) 493 - 8822</t>
  </si>
  <si>
    <t xml:space="preserve">236B</t>
  </si>
  <si>
    <t xml:space="preserve">Casey, Erin
Nichols, Tim</t>
  </si>
  <si>
    <t xml:space="preserve">tnichols@greatnorthernplumbing.com</t>
  </si>
  <si>
    <t xml:space="preserve">244 Ricardo Ranch Avenue Southeast</t>
  </si>
  <si>
    <t xml:space="preserve">McAndrews, Simon</t>
  </si>
  <si>
    <t xml:space="preserve">simon@groundinspirations.com</t>
  </si>
  <si>
    <t xml:space="preserve">(403) 510 - 9410</t>
  </si>
  <si>
    <t xml:space="preserve">244B</t>
  </si>
  <si>
    <t xml:space="preserve">Shimkus, Tyler
Valencia, Shanna Ley</t>
  </si>
  <si>
    <t xml:space="preserve">tylermshimkus@gmail.com
shanna.valencia@icloud.com</t>
  </si>
  <si>
    <t xml:space="preserve">(403) 336 - 9343
(780) 934 - 8027</t>
  </si>
  <si>
    <t xml:space="preserve">248 Ricardo Ranch Avenue Southeast</t>
  </si>
  <si>
    <t xml:space="preserve">Mueller, Hailey
Schimpf, Jayson</t>
  </si>
  <si>
    <t xml:space="preserve">mueller.hailey04@gmail.com
Jaysonschimpf007@gmail.com</t>
  </si>
  <si>
    <t xml:space="preserve">(403) 390 - 7444
(403) 519 - 4292</t>
  </si>
  <si>
    <t xml:space="preserve">248B</t>
  </si>
  <si>
    <t xml:space="preserve">Fox, Maggie
McCurdy, Shaila</t>
  </si>
  <si>
    <t xml:space="preserve">Maggiefox.0715@gmail.com
smccurds06@gmail.com</t>
  </si>
  <si>
    <t xml:space="preserve">(403) 462 - 3574
(250) 462 - 7879</t>
  </si>
  <si>
    <t xml:space="preserve">Uday Veera</t>
  </si>
  <si>
    <t xml:space="preserve">144 Evanscrest Park Northwest</t>
  </si>
  <si>
    <t xml:space="preserve">Clark, Chelcie
Veldman, Timothy</t>
  </si>
  <si>
    <t xml:space="preserve">chelcienclark@hotmail.com
timothylveldman@gmail.com</t>
  </si>
  <si>
    <t xml:space="preserve">(403) 470 - 6188
(403) 331 - 5073</t>
  </si>
  <si>
    <t xml:space="preserve">Vaithialingum Govidasamy</t>
  </si>
  <si>
    <t xml:space="preserve">10207 171A Avenue Northwest</t>
  </si>
  <si>
    <t xml:space="preserve">Ryan Arthurs
Shanel Nielsen</t>
  </si>
  <si>
    <t xml:space="preserve">ryanarthurs@hotmail.com
Shanelmomoftwo@outlook.com</t>
  </si>
  <si>
    <t xml:space="preserve">(780) 818-8850</t>
  </si>
  <si>
    <t xml:space="preserve">15816 100 Avenue Northwest</t>
  </si>
  <si>
    <t xml:space="preserve">Jason Glenn
Cierra-Lynn Thibert</t>
  </si>
  <si>
    <t xml:space="preserve">jayglenn0919@gmail.com</t>
  </si>
  <si>
    <t xml:space="preserve">(587) 598-5149</t>
  </si>
  <si>
    <t xml:space="preserve">Sameer Gupta</t>
  </si>
  <si>
    <t xml:space="preserve">sameergupta0388@gmail.com</t>
  </si>
  <si>
    <t xml:space="preserve">(226) 975-3233</t>
  </si>
  <si>
    <t xml:space="preserve">Viktor Pogrebniak</t>
  </si>
  <si>
    <t xml:space="preserve">202-4455D Greenvew Dr. NE, Calgary, AB T9E 6M1</t>
  </si>
  <si>
    <t xml:space="preserve">Will Wang</t>
  </si>
  <si>
    <t xml:space="preserve">9003 92 Avenue Northwest</t>
  </si>
  <si>
    <t xml:space="preserve">Nicolas Mora Briceno
Abraham Pérez Curiel
Diego Curiel</t>
  </si>
  <si>
    <t xml:space="preserve">nichomora824@hotmail.com
Perezcurielabraham@gmail.com
</t>
  </si>
  <si>
    <t xml:space="preserve">(780) 616-5329
(780) 695-3894</t>
  </si>
  <si>
    <t xml:space="preserve">9005 92 Avenue Northwest</t>
  </si>
  <si>
    <t xml:space="preserve">Phoenix Mcgilvery-Watchmaker
Kevin Watchmaker</t>
  </si>
  <si>
    <t xml:space="preserve">phoenixwatchmaker75@gmail.com
kwatchmaker2010@hotmail.com</t>
  </si>
  <si>
    <t xml:space="preserve">(780) 264-7620
(587) 335-0124</t>
  </si>
  <si>
    <t xml:space="preserve">Thomas Holkam</t>
  </si>
  <si>
    <t xml:space="preserve">thomaseholkham@gmail.com</t>
  </si>
  <si>
    <t xml:space="preserve">(587) 821-8901</t>
  </si>
  <si>
    <t xml:space="preserve">Yagna Sodha</t>
  </si>
  <si>
    <t xml:space="preserve">133 Pantego Road Northwest</t>
  </si>
  <si>
    <t xml:space="preserve">Dickie, Jesse
Aleinik, Heather</t>
  </si>
  <si>
    <t xml:space="preserve">Aleinik.dickie@gmail.com
Haleinik@gmail.com</t>
  </si>
  <si>
    <t xml:space="preserve">(226) 791 - 0872
(519) 501 - 2859</t>
  </si>
  <si>
    <t xml:space="preserve">Kedarnath Golthi</t>
  </si>
  <si>
    <t xml:space="preserve">5239 20 Avenue Southwest Edmonton, AB T6X 0P6</t>
  </si>
  <si>
    <t xml:space="preserve">w/ double garage (w/ parking fee?)</t>
  </si>
  <si>
    <t xml:space="preserve">Marta Majeranowska</t>
  </si>
  <si>
    <t xml:space="preserve">	50 Panatella Landing Northwest</t>
  </si>
  <si>
    <t xml:space="preserve">Shawn Hari Tomby</t>
  </si>
  <si>
    <t xml:space="preserve">60 Skyview Ranch Rd NE</t>
  </si>
  <si>
    <t xml:space="preserve">Take over</t>
  </si>
  <si>
    <t xml:space="preserve">95 Skyview CI NE</t>
  </si>
  <si>
    <t xml:space="preserve">111 Wolf Creek Drive Southeast</t>
  </si>
  <si>
    <t xml:space="preserve">#2408</t>
  </si>
  <si>
    <t xml:space="preserve">2499993 Alberta Ltd.</t>
  </si>
  <si>
    <t xml:space="preserve">967 15 Avenue Northeast</t>
  </si>
  <si>
    <t xml:space="preserve">Clerie Ludemara Valcin, Sanacheka Lambert</t>
  </si>
  <si>
    <t xml:space="preserve">ludenarla@gmail.com
sanachecka20@gmail.com</t>
  </si>
  <si>
    <t xml:space="preserve">1B</t>
  </si>
  <si>
    <t xml:space="preserve">Brien Gerlitz</t>
  </si>
  <si>
    <t xml:space="preserve">bgerlitz159@gmail.com</t>
  </si>
  <si>
    <t xml:space="preserve">Conflict double tenant entry</t>
  </si>
  <si>
    <t xml:space="preserve">2B</t>
  </si>
  <si>
    <t xml:space="preserve">Fareen Zakariya</t>
  </si>
  <si>
    <t xml:space="preserve">fareenz786@gmail.com</t>
  </si>
  <si>
    <t xml:space="preserve">Victoria (Koski) Patten, Tristen Kilthau</t>
  </si>
  <si>
    <t xml:space="preserve">vee.s.koski@gmail.com
tkilthau@yahoo.ca</t>
  </si>
  <si>
    <t xml:space="preserve">3B</t>
  </si>
  <si>
    <t xml:space="preserve">Assem Owdaa</t>
  </si>
  <si>
    <t xml:space="preserve">missing</t>
  </si>
  <si>
    <t xml:space="preserve">Danah Bianca De Guzman, Diocaryn De Guzman, Abdulhakeem Jimoh, Joshtin Glenn Balbido, Khalid Tijani, Kehinde Adewale Tijani</t>
  </si>
  <si>
    <t xml:space="preserve">biancxzdg@gmail.com
olamilekanh234@gmail.com
joshtin_b@yahoo.com
tijanikhalid040@gmail</t>
  </si>
  <si>
    <t xml:space="preserve">4B</t>
  </si>
  <si>
    <t xml:space="preserve">Duplicates</t>
  </si>
  <si>
    <t xml:space="preserve">1427 Shaganappi Ltd</t>
  </si>
  <si>
    <t xml:space="preserve">1429-1433 29 Street Southwest</t>
  </si>
  <si>
    <t xml:space="preserve">Hardy Banipal</t>
  </si>
  <si>
    <t xml:space="preserve">1338062 Alberta Ltd.</t>
  </si>
  <si>
    <t xml:space="preserve">1701 31 Street SW</t>
  </si>
  <si>
    <t xml:space="preserve">1701B</t>
  </si>
  <si>
    <t xml:space="preserve">Sandeep Reddy Saddi</t>
  </si>
  <si>
    <t xml:space="preserve">emails.reddys@gmail.com</t>
  </si>
  <si>
    <t xml:space="preserve">3203B</t>
  </si>
  <si>
    <t xml:space="preserve">Volodymyr Romaniuk</t>
  </si>
  <si>
    <t xml:space="preserve">volodymyr.romaniuk@hotmail.com</t>
  </si>
  <si>
    <t xml:space="preserve">3207B</t>
  </si>
  <si>
    <t xml:space="preserve">Walied Owadaa</t>
  </si>
  <si>
    <t xml:space="preserve">walied.owdaa@gmail.com</t>
  </si>
  <si>
    <t xml:space="preserve">1338065 Alberta Ltd.</t>
  </si>
  <si>
    <t xml:space="preserve">1704 31 Street SW</t>
  </si>
  <si>
    <t xml:space="preserve">3211B</t>
  </si>
  <si>
    <t xml:space="preserve">David Olayeni</t>
  </si>
  <si>
    <t xml:space="preserve">davidolayeni83@gmail.com</t>
  </si>
  <si>
    <t xml:space="preserve">1810 S Calgary Ltd.</t>
  </si>
  <si>
    <t xml:space="preserve">1810 28 Avenue Southwest</t>
  </si>
  <si>
    <t xml:space="preserve">Keara Madden</t>
  </si>
  <si>
    <t xml:space="preserve">1936 KILLARNEY LTD</t>
  </si>
  <si>
    <t xml:space="preserve">1936 35 Street Southwest</t>
  </si>
  <si>
    <t xml:space="preserve">Carla Sofia Lena Unger</t>
  </si>
  <si>
    <t xml:space="preserve">Aderike Fatuga</t>
  </si>
  <si>
    <t xml:space="preserve">Adriana Bouma-Yeme</t>
  </si>
  <si>
    <t xml:space="preserve">updated tenant lease agreement</t>
  </si>
  <si>
    <t xml:space="preserve">2517905 Alberta Ltd</t>
  </si>
  <si>
    <t xml:space="preserve">2406 21 Street Northwest</t>
  </si>
  <si>
    <t xml:space="preserve">Amar Preet Singh</t>
  </si>
  <si>
    <t xml:space="preserve">3530 2 Avenue Southwest</t>
  </si>
  <si>
    <t xml:space="preserve">5124 Montgomery Holdings Ltd.</t>
  </si>
  <si>
    <t xml:space="preserve">5124 17 Avenue Northwest</t>
  </si>
  <si>
    <t xml:space="preserve">104 41 Avenue Southwest</t>
  </si>
  <si>
    <t xml:space="preserve">Karanpreet Gill</t>
  </si>
  <si>
    <t xml:space="preserve">16 Red Embers Common Northeast.</t>
  </si>
  <si>
    <t xml:space="preserve">property photos</t>
  </si>
  <si>
    <t xml:space="preserve">431 Renfrew Holdings Ltd.</t>
  </si>
  <si>
    <t xml:space="preserve">431 11 Avenue Northeast</t>
  </si>
  <si>
    <t xml:space="preserve">Balvir Sangha</t>
  </si>
  <si>
    <t xml:space="preserve">220 Cornerbrook Common Northeast</t>
  </si>
  <si>
    <t xml:space="preserve">2516269 Alberta Ltd.</t>
  </si>
  <si>
    <t xml:space="preserve">4311 19 Avenue Northwest</t>
  </si>
  <si>
    <t xml:space="preserve">SGG 21 Ave Ltd.</t>
  </si>
  <si>
    <t xml:space="preserve">1512 21 Avenue Northwest</t>
  </si>
  <si>
    <t xml:space="preserve">Mavindeep S Gill</t>
  </si>
  <si>
    <t xml:space="preserve">908 34 Street Southeast</t>
  </si>
  <si>
    <t xml:space="preserve">Sukhpreet (Steven) Singh Bhatti</t>
  </si>
  <si>
    <t xml:space="preserve">Sukhpreet Singh Bhatti</t>
  </si>
  <si>
    <t xml:space="preserve">1204 18 Street Northeast</t>
  </si>
  <si>
    <t xml:space="preserve">51 Montrose Crescent Northeast</t>
  </si>
  <si>
    <t xml:space="preserve">Boer Lyu</t>
  </si>
  <si>
    <t xml:space="preserve">1501 6 Street Southwest Calgary, AB T2R 0Z7</t>
  </si>
  <si>
    <t xml:space="preserve">Ko PMA agreement, bedrooms, Baths, sq ft, amenities, updated lease agreement, </t>
  </si>
  <si>
    <t xml:space="preserve">Tracy Woodward</t>
  </si>
  <si>
    <t xml:space="preserve">11404 42 St Edmonton, AB, T5W 2M9</t>
  </si>
  <si>
    <t xml:space="preserve">Jordan Lemoine &amp; Hannah Weymouth</t>
  </si>
  <si>
    <t xml:space="preserve">Ko PMA agreement, Marketing details </t>
  </si>
  <si>
    <t xml:space="preserve">Kristen Ruel</t>
  </si>
  <si>
    <t xml:space="preserve">#407, 8149 - 111 St, Edmonton, AB, T6G 2P1</t>
  </si>
  <si>
    <t xml:space="preserve">Basam Ahmad &amp; Frank Wang</t>
  </si>
  <si>
    <t xml:space="preserve">Ko PMA agreement, </t>
  </si>
  <si>
    <t xml:space="preserve">Debra Larson</t>
  </si>
  <si>
    <t xml:space="preserve">6690 Cardinal Rd, Edmonton, AB, T6W 1A7</t>
  </si>
  <si>
    <t xml:space="preserve">Ko PMA agreement, property photos, leasing agreement, tenant's info</t>
  </si>
  <si>
    <t xml:space="preserve">Daria Makohon</t>
  </si>
  <si>
    <t xml:space="preserve">#309, 1031 - 173 St, Edmonton, AB, T6W 0M7</t>
  </si>
  <si>
    <t xml:space="preserve">Madisen Hutchinson &amp; Jase Enyedy </t>
  </si>
  <si>
    <t xml:space="preserve">Ko PMA agreement</t>
  </si>
  <si>
    <t xml:space="preserve">Kimberley Turcotte</t>
  </si>
  <si>
    <t xml:space="preserve">82 Northwoods VG, Edmonton, AB, T5X 1T2</t>
  </si>
  <si>
    <t xml:space="preserve">Farial Jabeen &amp; Abul Idris</t>
  </si>
  <si>
    <t xml:space="preserve">1105 Hainstock Green Edmonton, AB T6W 2T8</t>
  </si>
  <si>
    <t xml:space="preserve">Joseph Middleton % Heidi Middleton </t>
  </si>
  <si>
    <t xml:space="preserve">owner pad form, tenant void cheque and padform</t>
  </si>
  <si>
    <t xml:space="preserve">Chetan Gajipara</t>
  </si>
  <si>
    <t xml:space="preserve">2924 Chokecherry Common SW Edmonton AB, T6X 1A2</t>
  </si>
  <si>
    <t xml:space="preserve">Wael Mohamed Fathi Ahmed Abuseada</t>
  </si>
  <si>
    <t xml:space="preserve">Paul Huget &amp; Marlema Huget</t>
  </si>
  <si>
    <t xml:space="preserve">18904 86a Edmonton, AB, T5T4X8</t>
  </si>
  <si>
    <t xml:space="preserve">Nicole Hrynyk</t>
  </si>
  <si>
    <t xml:space="preserve">Ahnaf Ahmad</t>
  </si>
  <si>
    <t xml:space="preserve">2010 Cavanagh Dr SW</t>
  </si>
  <si>
    <t xml:space="preserve">Djamal Eddine Alem &amp; Imane Bouziane</t>
  </si>
  <si>
    <t xml:space="preserve"> pad form. updated lease tenant agreement,</t>
  </si>
  <si>
    <t xml:space="preserve">Gazeryan Development Inc</t>
  </si>
  <si>
    <t xml:space="preserve">8903 123 Avenue Northwest</t>
  </si>
  <si>
    <t xml:space="preserve">-</t>
  </si>
  <si>
    <t xml:space="preserve">property photos, details per unit, property photos, void cheque</t>
  </si>
  <si>
    <t xml:space="preserve">13304 75 Street Northwest</t>
  </si>
  <si>
    <t xml:space="preserve">Robert Clark &amp; Martin Massel</t>
  </si>
  <si>
    <t xml:space="preserve">10611 144 St NW Edmonton, AB </t>
  </si>
  <si>
    <t xml:space="preserve">7</t>
  </si>
  <si>
    <t xml:space="preserve">property photos, details per unit, void cheque</t>
  </si>
  <si>
    <t xml:space="preserve">Chad and Liza Wray</t>
  </si>
  <si>
    <t xml:space="preserve">126 14 Avenue Southwest</t>
  </si>
  <si>
    <t xml:space="preserve">220</t>
  </si>
  <si>
    <t xml:space="preserve">property photos, void cheque</t>
  </si>
  <si>
    <t xml:space="preserve">Abayomi Fagbebe</t>
  </si>
  <si>
    <t xml:space="preserve">15768 108 Ave. NW, Edmonton</t>
  </si>
  <si>
    <t xml:space="preserve">8</t>
  </si>
  <si>
    <t xml:space="preserve">10611 144 Street Northwest</t>
  </si>
  <si>
    <t xml:space="preserve">7 </t>
  </si>
  <si>
    <t xml:space="preserve">Amit Aurora</t>
  </si>
  <si>
    <t xml:space="preserve">1713 17 Avenue Southwest</t>
  </si>
  <si>
    <t xml:space="preserve">4</t>
  </si>
  <si>
    <t xml:space="preserve">Liam Haggarty</t>
  </si>
  <si>
    <t xml:space="preserve">property photos, void cheque, pad form</t>
  </si>
  <si>
    <t xml:space="preserve">3</t>
  </si>
  <si>
    <t xml:space="preserve">Ummashichi Uwho Nwuche</t>
  </si>
  <si>
    <t xml:space="preserve">Liu Yak Ha</t>
  </si>
  <si>
    <t xml:space="preserve">	522 Aboyne Crescent Northeast</t>
  </si>
  <si>
    <t xml:space="preserve">tenant lease agreement</t>
  </si>
  <si>
    <t xml:space="preserve">Jonna Paramo</t>
  </si>
  <si>
    <t xml:space="preserve">jonnaparamo0330@gmail.com</t>
  </si>
  <si>
    <t xml:space="preserve">Elizabeth Tayaban Jabbour</t>
  </si>
  <si>
    <t xml:space="preserve">9 Cornerstone Row Northeast</t>
  </si>
  <si>
    <t xml:space="preserve">2199-2300</t>
  </si>
  <si>
    <t xml:space="preserve">Leasing Fee with GST</t>
  </si>
  <si>
    <t xml:space="preserve">ADMIN Notes</t>
  </si>
  <si>
    <t xml:space="preserve">ACCOUNTING NOTES- INDICATE IF IT FILES ARE DONE AND CLOSED</t>
  </si>
  <si>
    <t xml:space="preserve">Lease Only</t>
  </si>
  <si>
    <t xml:space="preserve">Shahab Wasely</t>
  </si>
  <si>
    <t xml:space="preserve">8 SOUTHWINDS COMMON SW, AIRDRIE AB  T4B 5T9</t>
  </si>
  <si>
    <t xml:space="preserve">BSMT</t>
  </si>
  <si>
    <t xml:space="preserve">Kay Villocillo</t>
  </si>
  <si>
    <t xml:space="preserve">Ravinder Sahota</t>
  </si>
  <si>
    <t xml:space="preserve">3931 62 St NW, Calgary, AB, T3B 6R1 (New Bowness)</t>
  </si>
  <si>
    <t xml:space="preserve">Lorenzo Cabason,
Hermant Persaud</t>
  </si>
  <si>
    <t xml:space="preserve">Oluwabukunola Farayola</t>
  </si>
  <si>
    <t xml:space="preserve">19652 SHERIFF KING ST SW, CALGARY AB  T2X 5T9</t>
  </si>
  <si>
    <t xml:space="preserve">Keethana Chandrakuma</t>
  </si>
  <si>
    <t xml:space="preserve">2039 Saddleback Rd NW, Edmonton, AB T6J 4T4</t>
  </si>
  <si>
    <t xml:space="preserve">Patric Stettler</t>
  </si>
  <si>
    <t xml:space="preserve">227 7 ST NE, CALGARY AB  T2E 4C1</t>
  </si>
  <si>
    <t xml:space="preserve">Salvador Carlos Hernandez Ramirez</t>
  </si>
  <si>
    <t xml:space="preserve">A-934 5A ST NW, CALGARY AB  T2N 1R6</t>
  </si>
  <si>
    <t xml:space="preserve">Carla Barney</t>
  </si>
  <si>
    <t xml:space="preserve">203-1027 CAMERON AVE SW, CALGARY AB  T2T 0K3</t>
  </si>
  <si>
    <t xml:space="preserve">February 19, 0206</t>
  </si>
  <si>
    <t xml:space="preserve">Tamar Kathy Konevski</t>
  </si>
  <si>
    <t xml:space="preserve">2114 - 63 Corner Glen Crescent Northeast</t>
  </si>
  <si>
    <t xml:space="preserve">WE DON'T MANAGE THIS TENANT, PAD FORM Service only</t>
  </si>
  <si>
    <t xml:space="preserve">Kofi Poku Acheampong</t>
  </si>
  <si>
    <t xml:space="preserve">603 ORCHARDS BLVD SW, EDMONTON AB  T6X 2W8</t>
  </si>
  <si>
    <t xml:space="preserve">1920 31 ST SW, CALGARY AB  T3E 2M9</t>
  </si>
  <si>
    <t xml:space="preserve">Ankit Kainth</t>
  </si>
  <si>
    <t xml:space="preserve">230 Dawson Way, Chestermere, AB T1X 2R5</t>
  </si>
  <si>
    <t xml:space="preserve">Karanveer Rai</t>
  </si>
  <si>
    <t xml:space="preserve">6303 BOW CRES NW, CALGARY AB  T3B 2C4</t>
  </si>
  <si>
    <t xml:space="preserve">Victor Ifaturoti</t>
  </si>
  <si>
    <t xml:space="preserve">87 HUXLAND RD NE, CALGARY AB  T2A 6Z7</t>
  </si>
  <si>
    <t xml:space="preserve">Bharat Kumar Rajput</t>
  </si>
  <si>
    <t xml:space="preserve">9798 Hidden Valley Dr NW, Calgary, AB T3A 5L2</t>
  </si>
  <si>
    <t xml:space="preserve">Amarjit Singh</t>
  </si>
  <si>
    <t xml:space="preserve">247 Redstone Blvd NE, Calgary, AB T3N 1B6</t>
  </si>
  <si>
    <t xml:space="preserve">Gurpreet Dhillon</t>
  </si>
  <si>
    <t xml:space="preserve">139 Lewiston Drive NE, Calgary, Alberta</t>
  </si>
  <si>
    <t xml:space="preserve">Nwando Chineze Ezeagwula</t>
  </si>
  <si>
    <t xml:space="preserve">178 DRYSTONE WAY NW CALGARY AB  T3R 2M1</t>
  </si>
  <si>
    <t xml:space="preserve">63 Corner Glen Crois. NE 501</t>
  </si>
  <si>
    <t xml:space="preserve">Habibullah Nazari</t>
  </si>
  <si>
    <t xml:space="preserve">security deposit</t>
  </si>
  <si>
    <t xml:space="preserve">508-836 15 Ave SW, Unit</t>
  </si>
  <si>
    <t xml:space="preserve">	
Anastassia Krioutchkova</t>
  </si>
  <si>
    <t xml:space="preserve">202R 1408 Renfrew Drive NE Calgary</t>
  </si>
  <si>
    <t xml:space="preserve">Liam Wong</t>
  </si>
  <si>
    <t xml:space="preserve">Ines Alonso de Vega</t>
  </si>
  <si>
    <t xml:space="preserve"> 232 Ricardo Ranch Avenue Southeast</t>
  </si>
  <si>
    <t xml:space="preserve">	
Olasanmi Uthman Adeyiga</t>
  </si>
  <si>
    <t xml:space="preserve">Myles Fogarty</t>
  </si>
  <si>
    <t xml:space="preserve">Grace Fogarty</t>
  </si>
  <si>
    <t xml:space="preserve">8-PLEX BANFF TRAIL Property, Unit 2620R-24</t>
  </si>
  <si>
    <t xml:space="preserve">Adison Steel</t>
  </si>
  <si>
    <t xml:space="preserve">Douglas steel</t>
  </si>
  <si>
    <t xml:space="preserve">Heather Aleinik</t>
  </si>
  <si>
    <t xml:space="preserve">Jesse Dickie</t>
  </si>
  <si>
    <t xml:space="preserve">Mohammad Saleem</t>
  </si>
  <si>
    <t xml:space="preserve">Maria Naikpai</t>
  </si>
  <si>
    <t xml:space="preserve">Sindy Flores</t>
  </si>
  <si>
    <t xml:space="preserve">Deborah Chavez</t>
  </si>
  <si>
    <t xml:space="preserve">Chad Heaslip</t>
  </si>
  <si>
    <t xml:space="preserve">Oneil Kaylynn</t>
  </si>
  <si>
    <t xml:space="preserve">Vinze Torres</t>
  </si>
  <si>
    <t xml:space="preserve">Kiara Opperman</t>
  </si>
  <si>
    <t xml:space="preserve">Madison Norris</t>
  </si>
  <si>
    <t xml:space="preserve">                              </t>
  </si>
  <si>
    <t xml:space="preserve">Jordyn.</t>
  </si>
  <si>
    <t xml:space="preserve">8149-111 St. NW Edmonton </t>
  </si>
  <si>
    <t xml:space="preserve">Basam Ahmad</t>
  </si>
  <si>
    <t xml:space="preserve">Frank Wang</t>
  </si>
  <si>
    <t xml:space="preserve">18904 - 86A Ave </t>
  </si>
  <si>
    <t xml:space="preserve">11404 42 St. Edmonton</t>
  </si>
  <si>
    <t xml:space="preserve">Jordan Lemoine</t>
  </si>
  <si>
    <t xml:space="preserve">Hannah Weymouth</t>
  </si>
  <si>
    <t xml:space="preserve">309 1031 173 St Edmonton</t>
  </si>
  <si>
    <t xml:space="preserve">Madisen Hutchinson</t>
  </si>
  <si>
    <t xml:space="preserve">Jase Enyedy</t>
  </si>
  <si>
    <t xml:space="preserve">Enter the lease move out date range below.</t>
  </si>
  <si>
    <t xml:space="preserve">Address</t>
  </si>
  <si>
    <t xml:space="preserve">City</t>
  </si>
  <si>
    <t xml:space="preserve">Unit / Type</t>
  </si>
  <si>
    <t xml:space="preserve">Phone</t>
  </si>
  <si>
    <t xml:space="preserve">START DATE</t>
  </si>
  <si>
    <t xml:space="preserve">END DATE</t>
  </si>
  <si>
    <t xml:space="preserve">STATUS</t>
  </si>
  <si>
    <t xml:space="preserve">AKA</t>
  </si>
  <si>
    <t xml:space="preserve">Name</t>
  </si>
  <si>
    <t xml:space="preserve">Monthly Fee</t>
  </si>
  <si>
    <t xml:space="preserve">Deal Fee (per transaction)</t>
  </si>
  <si>
    <t xml:space="preserve">Convenyancing Fee with GST
Deal Fee x 1.05</t>
  </si>
  <si>
    <t xml:space="preserve">Annual Cap</t>
  </si>
  <si>
    <t xml:space="preserve">Post-Cap Deal Fee</t>
  </si>
  <si>
    <t xml:space="preserve">One-time Joining Fee</t>
  </si>
  <si>
    <t xml:space="preserve">Learner Plan</t>
  </si>
  <si>
    <t xml:space="preserve">High Performer Plan</t>
  </si>
  <si>
    <t xml:space="preserve">Team Plan</t>
  </si>
  <si>
    <t xml:space="preserve">WITH PICTURE?</t>
  </si>
  <si>
    <t xml:space="preserve">WITH GST NUMBER?</t>
  </si>
  <si>
    <t xml:space="preserve">IC AGREEMENT</t>
  </si>
  <si>
    <t xml:space="preserve">PAD FORM</t>
  </si>
  <si>
    <t xml:space="preserve">POLICY MANUAL</t>
  </si>
  <si>
    <t xml:space="preserve">NO LONGER AN AGENT</t>
  </si>
  <si>
    <t xml:space="preserve">Yen Pang</t>
  </si>
  <si>
    <t xml:space="preserve">yen.ableproperty@gmail.com</t>
  </si>
  <si>
    <t xml:space="preserve">368-999-8098</t>
  </si>
  <si>
    <t xml:space="preserve">$6000/calendar year</t>
  </si>
  <si>
    <t xml:space="preserve">Once the annual cap is reached, the deal fee is reduced to
$150.00 per transaction for the remainder of the calendar year. </t>
  </si>
  <si>
    <t xml:space="preserve">NO</t>
  </si>
  <si>
    <t xml:space="preserve">YES </t>
  </si>
  <si>
    <t xml:space="preserve">YES</t>
  </si>
  <si>
    <t xml:space="preserve">ACTIVE AGENT</t>
  </si>
  <si>
    <t xml:space="preserve">Bhupinder Gill</t>
  </si>
  <si>
    <t xml:space="preserve">info.fyndhomes@gmail.com</t>
  </si>
  <si>
    <t xml:space="preserve">403.415.4151</t>
  </si>
  <si>
    <t xml:space="preserve">$100.00 (non-refundable, due upon signing of this Agreement) </t>
  </si>
  <si>
    <t xml:space="preserve">junny@korealty.ca</t>
  </si>
  <si>
    <t xml:space="preserve">(403) 400-0699</t>
  </si>
  <si>
    <t xml:space="preserve">Sue La</t>
  </si>
  <si>
    <t xml:space="preserve">Ho Minh Duyen La</t>
  </si>
  <si>
    <t xml:space="preserve">suela.yyc@gmail.com</t>
  </si>
  <si>
    <t xml:space="preserve">403-990-4375</t>
  </si>
  <si>
    <t xml:space="preserve">Bike</t>
  </si>
  <si>
    <t xml:space="preserve">Odigwe Azubike Egwo</t>
  </si>
  <si>
    <t xml:space="preserve">odigweazu@gmail.com</t>
  </si>
  <si>
    <t xml:space="preserve">(587) 999-2002</t>
  </si>
  <si>
    <t xml:space="preserve">Dafe</t>
  </si>
  <si>
    <t xml:space="preserve">Dafe Ojevwe</t>
  </si>
  <si>
    <t xml:space="preserve">ojesdave@yahoo.com</t>
  </si>
  <si>
    <t xml:space="preserve">587 917 2815</t>
  </si>
  <si>
    <t xml:space="preserve">Gurpreet Singh</t>
  </si>
  <si>
    <t xml:space="preserve">Gsingh007100@gmail.com</t>
  </si>
  <si>
    <t xml:space="preserve">587-966-9971</t>
  </si>
  <si>
    <t xml:space="preserve">Gurpreet Boparai</t>
  </si>
  <si>
    <t xml:space="preserve">preete002@hotmail.com</t>
  </si>
  <si>
    <t xml:space="preserve">825 488 4893</t>
  </si>
  <si>
    <t xml:space="preserve">$300/per transaction</t>
  </si>
  <si>
    <t xml:space="preserve">Rishabh Malhotra</t>
  </si>
  <si>
    <t xml:space="preserve">rishmalhotra@outlook.com</t>
  </si>
  <si>
    <t xml:space="preserve">(587) 973-5223</t>
  </si>
  <si>
    <t xml:space="preserve">$10,000/calendar year</t>
  </si>
  <si>
    <t xml:space="preserve">Once the annual cap is reached, the deal fee is reduced to
$100.00 per transaction for the remainder of the calendar year. </t>
  </si>
  <si>
    <t xml:space="preserve">IN PENDING</t>
  </si>
  <si>
    <t xml:space="preserve">Sameh Osman</t>
  </si>
  <si>
    <t xml:space="preserve">osman.sameh@gmail.com</t>
  </si>
  <si>
    <t xml:space="preserve">343-254-1382</t>
  </si>
  <si>
    <t xml:space="preserve">Habibur Rahman</t>
  </si>
  <si>
    <t xml:space="preserve">Md Habibur Rahman</t>
  </si>
  <si>
    <t xml:space="preserve">habib85uk@gmail.com</t>
  </si>
  <si>
    <t xml:space="preserve">(825) 994-1202</t>
  </si>
  <si>
    <t xml:space="preserve">Ellie</t>
  </si>
  <si>
    <t xml:space="preserve">Minh Anh Pham</t>
  </si>
  <si>
    <t xml:space="preserve">elliepham.ca@gmail.com</t>
  </si>
  <si>
    <t xml:space="preserve">(403) 888-3311</t>
  </si>
  <si>
    <t xml:space="preserve">Sam Nguyen</t>
  </si>
  <si>
    <t xml:space="preserve">samnguyen.realtor@gmail.com</t>
  </si>
  <si>
    <t xml:space="preserve">403-826-4569</t>
  </si>
  <si>
    <t xml:space="preserve">Heather Marriot</t>
  </si>
  <si>
    <t xml:space="preserve">Hmarriott@shaw.ca</t>
  </si>
  <si>
    <t xml:space="preserve">403 402 6736</t>
  </si>
  <si>
    <t xml:space="preserve">Shah</t>
  </si>
  <si>
    <t xml:space="preserve">waselyshahab@gmail.com</t>
  </si>
  <si>
    <t xml:space="preserve">(647)207-8874</t>
  </si>
  <si>
    <t xml:space="preserve">Jay</t>
  </si>
  <si>
    <t xml:space="preserve">Jawad Wasely</t>
  </si>
  <si>
    <t xml:space="preserve">jawad.wasely@gmail.com</t>
  </si>
  <si>
    <t xml:space="preserve">(416) 700-8229</t>
  </si>
  <si>
    <t xml:space="preserve">carlabarney@gmail.com</t>
  </si>
  <si>
    <t xml:space="preserve">(403) 836-3135</t>
  </si>
  <si>
    <t xml:space="preserve">Rachel Lynn Walia</t>
  </si>
  <si>
    <t xml:space="preserve">rachaelwla@icloud.com</t>
  </si>
  <si>
    <t xml:space="preserve">(587) 574-8888</t>
  </si>
  <si>
    <t xml:space="preserve">A combined cap of $6,000 per calendar year applies to
the two individuals under this plan. </t>
  </si>
  <si>
    <t xml:space="preserve">Once the shared $6,000 cap is reached, the deal
fee is reduced to $100.00 per transaction for both individuals for the remainder of the calendar year.</t>
  </si>
  <si>
    <t xml:space="preserve">Amandeep Singh Walia</t>
  </si>
  <si>
    <t xml:space="preserve">amanwalia.realtor@gmail.com</t>
  </si>
  <si>
    <t xml:space="preserve">(403) 909-9868</t>
  </si>
  <si>
    <t xml:space="preserve">A combined cap of $6,000 per calendar year applies to
the two individuals under this plan.</t>
  </si>
  <si>
    <t xml:space="preserve"> Once the shared $6,000 cap is reached, the deal
fee is reduced to $100.00 per transaction for both individuals for the remainder of the calendar year.</t>
  </si>
  <si>
    <t xml:space="preserve">Antonia</t>
  </si>
  <si>
    <t xml:space="preserve">Poh Lian Ee</t>
  </si>
  <si>
    <t xml:space="preserve">zacee2025@gmail.com</t>
  </si>
  <si>
    <t xml:space="preserve">(825) 994-4228</t>
  </si>
  <si>
    <t xml:space="preserve">● Monthly Fee: $50.00
● Deal Fee: $500.00 per transaction</t>
  </si>
  <si>
    <t xml:space="preserve">● Monthly Fee: $200.00
● Deal Fee: $300.00 per transaction capped at $10,000 per calendar year</t>
  </si>
  <si>
    <t xml:space="preserve">● Agents can pick plan 1 or plan 2 individually.
● Team Owner Benefit: Owner(s) of the team will be entitled to 10% of transaction fee
as well as 10% of monthly fee which shall be paid by KO Realty every transaction
agent from Team closes. (Agents’ monthly and Deal Fee will stay the same).</t>
  </si>
  <si>
    <t xml:space="preserve">Sherin Thomas</t>
  </si>
  <si>
    <t xml:space="preserve">sherin0621@gmail.com</t>
  </si>
  <si>
    <t xml:space="preserve">403-425-5505</t>
  </si>
  <si>
    <t xml:space="preserve">Dongyun Kim</t>
  </si>
  <si>
    <t xml:space="preserve">kimdy960124@gmail.com</t>
  </si>
  <si>
    <t xml:space="preserve">Mincheol Kwon</t>
  </si>
  <si>
    <t xml:space="preserve">kwon7355@gmail.com</t>
  </si>
  <si>
    <t xml:space="preserve">403-862-8258</t>
  </si>
  <si>
    <t xml:space="preserve">● Agents can pick plan 1 or plan 2 individually.
● Team Owner Benefit: Owner(s) of the team will be entitled to 10% of transaction fee
as well as 10% of monthly fee which shall be paid by KO Realty every transaction
agent from Team closes. (Agents’ monthly and Deal Fee will stay the same).
</t>
  </si>
  <si>
    <t xml:space="preserve">KAY</t>
  </si>
  <si>
    <t xml:space="preserve">Kay C Villocillo</t>
  </si>
  <si>
    <t xml:space="preserve">realestate.kayc@gmail.com</t>
  </si>
  <si>
    <t xml:space="preserve">(587) 222-8175</t>
  </si>
  <si>
    <t xml:space="preserve">Saif Tareen</t>
  </si>
  <si>
    <t xml:space="preserve">Saif.tareen@century21.ca</t>
  </si>
  <si>
    <t xml:space="preserve">Inkyu Hwang</t>
  </si>
  <si>
    <t xml:space="preserve">steve@daonrealty.com</t>
  </si>
  <si>
    <t xml:space="preserve">587-897-2718</t>
  </si>
  <si>
    <t xml:space="preserve">Suwoo Lee</t>
  </si>
  <si>
    <t xml:space="preserve">SUWOO@daonrealty.com</t>
  </si>
  <si>
    <t xml:space="preserve">403-615-4333</t>
  </si>
  <si>
    <t xml:space="preserve">Roxana Diana Velicu</t>
  </si>
  <si>
    <t xml:space="preserve">soldbydia@gmail.com</t>
  </si>
  <si>
    <t xml:space="preserve">Hemant Akash Persaud</t>
  </si>
  <si>
    <t xml:space="preserve">Hemipersaud@gmail.com</t>
  </si>
  <si>
    <t xml:space="preserve">  (587) 969-4364</t>
  </si>
  <si>
    <t xml:space="preserve">Eric Brunetta</t>
  </si>
  <si>
    <t xml:space="preserve">Eric@brunetta.ca</t>
  </si>
  <si>
    <t xml:space="preserve">(825) 945-9996</t>
  </si>
  <si>
    <t xml:space="preserve">Nik</t>
  </si>
  <si>
    <t xml:space="preserve">Nikolay Kostov Nikolov</t>
  </si>
  <si>
    <t xml:space="preserve">Realtornik@icloud.com</t>
  </si>
  <si>
    <t xml:space="preserve">(403) 701-8484</t>
  </si>
  <si>
    <t xml:space="preserve">Parwinder Kaur Dhanju</t>
  </si>
  <si>
    <t xml:space="preserve">dhanjurealtor@gmail.com</t>
  </si>
  <si>
    <t xml:space="preserve">l.cabason@gmail.com</t>
  </si>
  <si>
    <t xml:space="preserve">MISSING</t>
  </si>
  <si>
    <t xml:space="preserve">Dolly</t>
  </si>
  <si>
    <t xml:space="preserve">Jaspreet Brar</t>
  </si>
  <si>
    <t xml:space="preserve">Dollybrar02@gmail.com</t>
  </si>
  <si>
    <t xml:space="preserve">Satnam Singh</t>
  </si>
  <si>
    <t xml:space="preserve">delightlivinghomes@gmail.com</t>
  </si>
  <si>
    <t xml:space="preserve">Ryan</t>
  </si>
  <si>
    <t xml:space="preserve">RYAN Suh</t>
  </si>
  <si>
    <t xml:space="preserve">ryansuhrealtor@gmail.com</t>
  </si>
  <si>
    <t xml:space="preserve">Taranpreet Kaur</t>
  </si>
  <si>
    <t xml:space="preserve">soldbytkhomes@gmail.com</t>
  </si>
  <si>
    <t xml:space="preserve">Wilson Lleno</t>
  </si>
  <si>
    <t xml:space="preserve">wlleno101202@gmail.com</t>
  </si>
  <si>
    <t xml:space="preserve">(403) 307-75714</t>
  </si>
  <si>
    <t xml:space="preserve">Greg</t>
  </si>
  <si>
    <t xml:space="preserve">Gregory Berry</t>
  </si>
  <si>
    <t xml:space="preserve">greg@squareonealberta.ca</t>
  </si>
  <si>
    <t xml:space="preserve">(403) 402-1500</t>
  </si>
  <si>
    <t xml:space="preserve">Tom</t>
  </si>
  <si>
    <t xml:space="preserve">Thomas Jeffrey Bielert</t>
  </si>
  <si>
    <t xml:space="preserve">thomas@calgarybrothersrealty.ca</t>
  </si>
  <si>
    <t xml:space="preserve">(825) 254-7422 </t>
  </si>
  <si>
    <t xml:space="preserve">Kyle Darrien Cessford</t>
  </si>
  <si>
    <t xml:space="preserve">kyle@calgarybrothersrealty.ca</t>
  </si>
  <si>
    <t xml:space="preserve">(778) 677-9456</t>
  </si>
  <si>
    <t xml:space="preserve">Zulqurnain Khan</t>
  </si>
  <si>
    <t xml:space="preserve">zulqurnaink@proton.me</t>
  </si>
  <si>
    <t xml:space="preserve">587-890-7171</t>
  </si>
  <si>
    <t xml:space="preserve">Deborah</t>
  </si>
  <si>
    <t xml:space="preserve">Hyun Kyung Kim</t>
  </si>
  <si>
    <t xml:space="preserve">deborahkimrealtor@gmail.com</t>
  </si>
  <si>
    <t xml:space="preserve">(403) 607-9433</t>
  </si>
  <si>
    <t xml:space="preserve">Rodelyn Manuba</t>
  </si>
  <si>
    <t xml:space="preserve">rmanubarealtor@gmail.com</t>
  </si>
  <si>
    <t xml:space="preserve">(587) 284-1985</t>
  </si>
  <si>
    <t xml:space="preserve">Mohammad Emmon</t>
  </si>
  <si>
    <t xml:space="preserve">realtormoyyc@gmail.com</t>
  </si>
  <si>
    <t xml:space="preserve">(403) 888-4268</t>
  </si>
  <si>
    <t xml:space="preserve">Iryna Synyutka</t>
  </si>
  <si>
    <t xml:space="preserve">irynalondon2@outlook.com</t>
  </si>
  <si>
    <t xml:space="preserve">Gagan</t>
  </si>
  <si>
    <t xml:space="preserve">Gagandeep Juneja</t>
  </si>
  <si>
    <t xml:space="preserve">homesbygagan@outlook.com</t>
  </si>
  <si>
    <t xml:space="preserve">Viraj Jagad</t>
  </si>
  <si>
    <t xml:space="preserve">realtorviraj@gmail.com</t>
  </si>
  <si>
    <t xml:space="preserve">(587) 837-3933</t>
  </si>
  <si>
    <t xml:space="preserve">Refeeque Kuttiry</t>
  </si>
  <si>
    <t xml:space="preserve">refeequek@yahoo.com</t>
  </si>
  <si>
    <t xml:space="preserve">David</t>
  </si>
  <si>
    <t xml:space="preserve">Alith Carrascal</t>
  </si>
  <si>
    <t xml:space="preserve">a.david.carrascal@gmail.com</t>
  </si>
  <si>
    <t xml:space="preserve">Robert Evans</t>
  </si>
  <si>
    <t xml:space="preserve">revans@atlasdevco.com</t>
  </si>
  <si>
    <t xml:space="preserve">(587) 441-2287</t>
  </si>
  <si>
    <t xml:space="preserve">Bharat Desai</t>
  </si>
  <si>
    <t xml:space="preserve">bharatyycrealtor@hotmail.com</t>
  </si>
  <si>
    <t xml:space="preserve">(587) 700-1048</t>
  </si>
  <si>
    <t xml:space="preserve">Aryana </t>
  </si>
  <si>
    <t xml:space="preserve">Aryana Yousuf</t>
  </si>
  <si>
    <t xml:space="preserve">aj.legaldocs@gmail.com</t>
  </si>
  <si>
    <t xml:space="preserve">403-616-2029 </t>
  </si>
  <si>
    <t xml:space="preserve">Hwa Jung</t>
  </si>
  <si>
    <t xml:space="preserve">jungrealty7@gmail.com</t>
  </si>
  <si>
    <t xml:space="preserve">Nasir Yar Ahmad</t>
  </si>
  <si>
    <t xml:space="preserve">Payamnasir@gmail.com</t>
  </si>
  <si>
    <t xml:space="preserve">(403) 605-6595</t>
  </si>
  <si>
    <t xml:space="preserve">95 Skyview Close Road NE,</t>
  </si>
  <si>
    <t xml:space="preserve">60 Skyview Ranch Road NE</t>
  </si>
  <si>
    <t xml:space="preserve">111 Wolf Creek Drive SE</t>
  </si>
  <si>
    <t xml:space="preserve">Date Onboarded </t>
  </si>
  <si>
    <t xml:space="preserve">Tenant</t>
  </si>
  <si>
    <t xml:space="preserve">Note</t>
  </si>
  <si>
    <t xml:space="preserve">tenant lease agreement, property photo, tenant pad form, void cheque</t>
  </si>
  <si>
    <t xml:space="preserve">Reminder: Add tenant Hali Marie Lind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</si>
</sst>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m\ d&quot;, &quot;yyyy"/>
    <numFmt numFmtId="166" formatCode="0.0%"/>
    <numFmt numFmtId="167" formatCode="#,##0"/>
    <numFmt numFmtId="168" formatCode="\$#,##0.00"/>
    <numFmt numFmtId="169" formatCode="@"/>
    <numFmt numFmtId="170" formatCode="mmmm\ d&quot;, &quot;yyyy"/>
    <numFmt numFmtId="171" formatCode="0.00%"/>
    <numFmt numFmtId="172" formatCode="\$#,##0.00;\-#,##0.00;;"/>
    <numFmt numFmtId="173" formatCode="mm/dd/yyyy"/>
    <numFmt numFmtId="174" formatCode="mmmm\ d&quot;, &quot;yyyy"/>
    <numFmt numFmtId="175" formatCode="m/d/yyyy"/>
  </numFmts>
  <fonts count="6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356854"/>
      <name val="Arial"/>
      <family val="0"/>
      <charset val="1"/>
    </font>
    <font>
      <b val="true"/>
      <sz val="12"/>
      <color rgb="FFFFFFFF"/>
      <name val="Roboto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434343"/>
      <name val="Roboto"/>
      <family val="0"/>
      <charset val="1"/>
    </font>
    <font>
      <sz val="12"/>
      <color rgb="FFD4EDBC"/>
      <name val="Roboto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12"/>
      <color rgb="FFBFE0F6"/>
      <name val="Roboto"/>
      <family val="0"/>
      <charset val="1"/>
    </font>
    <font>
      <sz val="12"/>
      <color theme="1"/>
      <name val="Arial"/>
      <family val="0"/>
      <charset val="1"/>
    </font>
    <font>
      <b val="true"/>
      <sz val="12"/>
      <color rgb="FFCC0000"/>
      <name val="Roboto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Roboto"/>
      <family val="0"/>
      <charset val="1"/>
    </font>
    <font>
      <sz val="12"/>
      <color rgb="FF0000FF"/>
      <name val="Roboto"/>
      <family val="0"/>
      <charset val="1"/>
    </font>
    <font>
      <sz val="12"/>
      <color rgb="FFE5CFF2"/>
      <name val="Roboto"/>
      <family val="0"/>
      <charset val="1"/>
    </font>
    <font>
      <sz val="12"/>
      <color rgb="FFFFE5A0"/>
      <name val="Roboto"/>
      <family val="0"/>
      <charset val="1"/>
    </font>
    <font>
      <sz val="12"/>
      <color rgb="FFFFCFC9"/>
      <name val="Roboto"/>
      <family val="0"/>
      <charset val="1"/>
    </font>
    <font>
      <sz val="12"/>
      <color rgb="FFE5E5E5"/>
      <name val="Roboto"/>
      <family val="0"/>
      <charset val="1"/>
    </font>
    <font>
      <sz val="12"/>
      <color rgb="FF000000"/>
      <name val="Roboto"/>
      <family val="0"/>
      <charset val="1"/>
    </font>
    <font>
      <sz val="12"/>
      <color rgb="FFC6DBE1"/>
      <name val="Roboto"/>
      <family val="0"/>
      <charset val="1"/>
    </font>
    <font>
      <b val="true"/>
      <sz val="12"/>
      <color rgb="FFCC0000"/>
      <name val="Arial"/>
      <family val="0"/>
      <charset val="1"/>
    </font>
    <font>
      <sz val="12"/>
      <color rgb="FFFF0000"/>
      <name val="Calibri"/>
      <family val="0"/>
      <charset val="1"/>
    </font>
    <font>
      <sz val="12"/>
      <color rgb="FFFF0000"/>
      <name val="Roboto"/>
      <family val="0"/>
      <charset val="1"/>
    </font>
    <font>
      <sz val="12"/>
      <color rgb="FFB10202"/>
      <name val="Roboto"/>
      <family val="0"/>
      <charset val="1"/>
    </font>
    <font>
      <sz val="12"/>
      <color rgb="FF3C4043"/>
      <name val="Arial"/>
      <family val="0"/>
      <charset val="1"/>
    </font>
    <font>
      <sz val="12"/>
      <color rgb="FF000000"/>
      <name val="&quot;Aptos Narrow&quot;"/>
      <family val="0"/>
      <charset val="1"/>
    </font>
    <font>
      <sz val="12"/>
      <color theme="1"/>
      <name val="Aptos Narrow"/>
      <family val="0"/>
      <charset val="1"/>
    </font>
    <font>
      <sz val="12"/>
      <color rgb="FFBFE0F6"/>
      <name val="Arial"/>
      <family val="0"/>
      <charset val="1"/>
    </font>
    <font>
      <sz val="12"/>
      <color rgb="FFD4EDBC"/>
      <name val="Arial"/>
      <family val="0"/>
      <charset val="1"/>
    </font>
    <font>
      <sz val="12"/>
      <color rgb="FF434343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FFFF"/>
      <name val="Roboto"/>
      <family val="0"/>
      <charset val="1"/>
    </font>
    <font>
      <sz val="11"/>
      <color rgb="FF434343"/>
      <name val="Roboto"/>
      <family val="0"/>
      <charset val="1"/>
    </font>
    <font>
      <sz val="11"/>
      <color rgb="FF0000FF"/>
      <name val="Roboto"/>
      <family val="0"/>
      <charset val="1"/>
    </font>
    <font>
      <sz val="11"/>
      <color rgb="FF434343"/>
      <name val="Calibri"/>
      <family val="0"/>
      <charset val="1"/>
    </font>
    <font>
      <sz val="11"/>
      <color rgb="FFD4EDBC"/>
      <name val="Roboto"/>
      <family val="0"/>
      <charset val="1"/>
    </font>
    <font>
      <sz val="11"/>
      <color rgb="FF473821"/>
      <name val="Arial"/>
      <family val="0"/>
      <charset val="1"/>
    </font>
    <font>
      <sz val="11"/>
      <color rgb="FFD4EDBC"/>
      <name val="Arial"/>
      <family val="0"/>
      <charset val="1"/>
    </font>
    <font>
      <sz val="11"/>
      <color rgb="FFBFE0F6"/>
      <name val="Arial"/>
      <family val="0"/>
      <charset val="1"/>
    </font>
    <font>
      <sz val="11"/>
      <color rgb="FF434343"/>
      <name val="Arial"/>
      <family val="0"/>
      <charset val="1"/>
    </font>
    <font>
      <sz val="11"/>
      <color rgb="FFFFCFC9"/>
      <name val="Roboto"/>
      <family val="0"/>
      <charset val="1"/>
    </font>
    <font>
      <sz val="11"/>
      <color theme="1"/>
      <name val="Roboto"/>
      <family val="0"/>
      <charset val="1"/>
    </font>
    <font>
      <sz val="11"/>
      <color theme="1"/>
      <name val="Calibri"/>
      <family val="0"/>
      <charset val="1"/>
    </font>
    <font>
      <sz val="11"/>
      <color rgb="FFBFE0F6"/>
      <name val="Roboto"/>
      <family val="0"/>
      <charset val="1"/>
    </font>
    <font>
      <u val="single"/>
      <sz val="11"/>
      <color rgb="FF0000FF"/>
      <name val="Roboto"/>
      <family val="0"/>
      <charset val="1"/>
    </font>
    <font>
      <b val="true"/>
      <sz val="13"/>
      <color rgb="FF3C4043"/>
      <name val="Muli"/>
      <family val="0"/>
      <charset val="1"/>
    </font>
    <font>
      <sz val="11"/>
      <color rgb="FF000000"/>
      <name val="&quot;Aptos Narrow&quot;"/>
      <family val="0"/>
      <charset val="1"/>
    </font>
    <font>
      <sz val="11"/>
      <color theme="1"/>
      <name val="Aptos Narrow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56854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6E8F82"/>
        <bgColor rgb="FF999999"/>
      </patternFill>
    </fill>
    <fill>
      <patternFill patternType="solid">
        <fgColor rgb="FFDCE6E0"/>
        <bgColor rgb="FFE5E5E5"/>
      </patternFill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  <fill>
      <patternFill patternType="solid">
        <fgColor rgb="FF999999"/>
        <bgColor rgb="FF6E8F82"/>
      </patternFill>
    </fill>
    <fill>
      <patternFill patternType="solid">
        <fgColor rgb="FFE06666"/>
        <bgColor rgb="FFFF6600"/>
      </patternFill>
    </fill>
    <fill>
      <patternFill patternType="solid">
        <fgColor rgb="FF666666"/>
        <bgColor rgb="FF595959"/>
      </patternFill>
    </fill>
    <fill>
      <patternFill patternType="solid">
        <fgColor rgb="FFFF0000"/>
        <bgColor rgb="FFCC0000"/>
      </patternFill>
    </fill>
    <fill>
      <patternFill patternType="solid">
        <fgColor rgb="FF800020"/>
        <bgColor rgb="FF6600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CF"/>
      </left>
      <right style="thin">
        <color rgb="FFC9D3CF"/>
      </right>
      <top style="thin">
        <color rgb="FFC9D3CF"/>
      </top>
      <bottom style="thin">
        <color rgb="FFC9D3C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2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4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1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2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1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4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4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4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2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5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0" fontId="52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4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356854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6F8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34343"/>
          <bgColor rgb="FF000000"/>
        </patternFill>
      </fill>
    </dxf>
    <dxf>
      <fill>
        <patternFill patternType="solid">
          <fgColor rgb="FFD4EDB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10202"/>
          <bgColor rgb="FF000000"/>
        </patternFill>
      </fill>
    </dxf>
    <dxf>
      <fill>
        <patternFill patternType="solid">
          <fgColor rgb="FFBFE0F6"/>
          <bgColor rgb="FF000000"/>
        </patternFill>
      </fill>
    </dxf>
    <dxf>
      <fill>
        <patternFill patternType="solid">
          <fgColor rgb="FFC6DBE1"/>
          <bgColor rgb="FF000000"/>
        </patternFill>
      </fill>
    </dxf>
    <dxf>
      <fill>
        <patternFill patternType="solid">
          <fgColor rgb="FFE5CFF2"/>
          <bgColor rgb="FF000000"/>
        </patternFill>
      </fill>
    </dxf>
    <dxf>
      <fill>
        <patternFill patternType="solid">
          <fgColor rgb="FFE5E5E5"/>
          <bgColor rgb="FF000000"/>
        </patternFill>
      </fill>
    </dxf>
    <dxf>
      <fill>
        <patternFill patternType="solid">
          <fgColor rgb="FFFFCFC9"/>
          <bgColor rgb="FF000000"/>
        </patternFill>
      </fill>
    </dxf>
    <dxf>
      <fill>
        <patternFill patternType="solid">
          <fgColor rgb="FFFFE5A0"/>
          <bgColor rgb="FF000000"/>
        </patternFill>
      </fill>
    </dxf>
    <dxf>
      <fill>
        <patternFill patternType="solid">
          <fgColor rgb="FF3C4043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06666"/>
        </patternFill>
      </fill>
    </dxf>
    <dxf>
      <fill>
        <patternFill patternType="solid">
          <fgColor rgb="FF8000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20"/>
      <rgbColor rgb="FF008000"/>
      <rgbColor rgb="FF000080"/>
      <rgbColor rgb="FF808000"/>
      <rgbColor rgb="FF800080"/>
      <rgbColor rgb="FF356854"/>
      <rgbColor rgb="FFC9D3CF"/>
      <rgbColor rgb="FF6E8F82"/>
      <rgbColor rgb="FF9999FF"/>
      <rgbColor rgb="FF595959"/>
      <rgbColor rgb="FFF6F8F9"/>
      <rgbColor rgb="FFDCE6E0"/>
      <rgbColor rgb="FF660066"/>
      <rgbColor rgb="FFE06666"/>
      <rgbColor rgb="FF0066CC"/>
      <rgbColor rgb="FFE5CFF2"/>
      <rgbColor rgb="FF000080"/>
      <rgbColor rgb="FFFF00FF"/>
      <rgbColor rgb="FFFFFF00"/>
      <rgbColor rgb="FF00FFFF"/>
      <rgbColor rgb="FF800080"/>
      <rgbColor rgb="FFB10202"/>
      <rgbColor rgb="FF008080"/>
      <rgbColor rgb="FF0000FF"/>
      <rgbColor rgb="FF00CCFF"/>
      <rgbColor rgb="FFBFE0F6"/>
      <rgbColor rgb="FFD4EDBC"/>
      <rgbColor rgb="FFFFE5A0"/>
      <rgbColor rgb="FFC6DBE1"/>
      <rgbColor rgb="FFFF99CC"/>
      <rgbColor rgb="FFE5E5E5"/>
      <rgbColor rgb="FFFFCFC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73821"/>
      <rgbColor rgb="FFCC0000"/>
      <rgbColor rgb="FF993366"/>
      <rgbColor rgb="FF434343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" displayName="Table1" ref="A1:C172" headerRowCount="1" totalsRowCount="0" totalsRowShown="0">
  <tableColumns count="3">
    <tableColumn id="1" name="Property"/>
    <tableColumn id="2" name="Tenant Name"/>
    <tableColumn id="3" name="Notes"/>
  </tableColumns>
</table>
</file>

<file path=xl/tables/table2.xml><?xml version="1.0" encoding="utf-8"?>
<table xmlns="http://schemas.openxmlformats.org/spreadsheetml/2006/main" id="2" name="Table1_2" displayName="Table1_2" ref="A1:Y229" headerRowCount="1" totalsRowCount="0" totalsRowShown="0">
  <autoFilter ref="A1:Y229"/>
  <tableColumns count="25">
    <tableColumn id="1" name="Management Agreement Date"/>
    <tableColumn id="2" name="Service Type"/>
    <tableColumn id="3" name="Owner"/>
    <tableColumn id="4" name="Property"/>
    <tableColumn id="5" name="Unit #"/>
    <tableColumn id="6" name="Assigned PM"/>
    <tableColumn id="7" name="Assigned Leasing Agent"/>
    <tableColumn id="8" name="Occupancy Status"/>
    <tableColumn id="9" name="Service Status"/>
    <tableColumn id="10" name="Tenant Name"/>
    <tableColumn id="11" name="Email"/>
    <tableColumn id="12" name="Phone Number"/>
    <tableColumn id="13" name="Lease Move In"/>
    <tableColumn id="14" name="Lease Move out"/>
    <tableColumn id="15" name="Leasing Fee"/>
    <tableColumn id="16" name="Rent"/>
    <tableColumn id="17" name="Pet Fee"/>
    <tableColumn id="18" name="Parking"/>
    <tableColumn id="19" name="Storage"/>
    <tableColumn id="20" name="Management Fee %"/>
    <tableColumn id="21" name="Management Fee"/>
    <tableColumn id="22" name="TOTAL FEES WITH GST"/>
    <tableColumn id="23" name="Total Owner Income"/>
    <tableColumn id="24" name="Total Owner disbursement"/>
    <tableColumn id="25" name="Notes"/>
  </tableColumns>
</table>
</file>

<file path=xl/tables/table3.xml><?xml version="1.0" encoding="utf-8"?>
<table xmlns="http://schemas.openxmlformats.org/spreadsheetml/2006/main" id="3" name="Table2" displayName="Table2" ref="A1:S59" headerRowCount="1" totalsRowCount="0" totalsRowShown="0">
  <tableColumns count="19">
    <tableColumn id="1" name="STATUS"/>
    <tableColumn id="2" name="AKA"/>
    <tableColumn id="3" name="Name"/>
    <tableColumn id="4" name="Email"/>
    <tableColumn id="5" name="Phone"/>
    <tableColumn id="6" name="Monthly Fee"/>
    <tableColumn id="7" name="Deal Fee (per transaction)"/>
    <tableColumn id="8" name="Convenyancing Fee with GST&#10;Deal Fee x 1.05"/>
    <tableColumn id="9" name="Annual Cap"/>
    <tableColumn id="10" name="Post-Cap Deal Fee"/>
    <tableColumn id="11" name="One-time Joining Fee"/>
    <tableColumn id="12" name="Learner Plan"/>
    <tableColumn id="13" name="High Performer Plan"/>
    <tableColumn id="14" name="Team Plan"/>
    <tableColumn id="15" name="WITH PICTURE?"/>
    <tableColumn id="16" name="WITH GST NUMBER?"/>
    <tableColumn id="17" name="IC AGREEMENT"/>
    <tableColumn id="18" name="PAD FORM"/>
    <tableColumn id="19" name="POLICY MANUAL"/>
  </tableColumns>
</table>
</file>

<file path=xl/tables/table4.xml><?xml version="1.0" encoding="utf-8"?>
<table xmlns="http://schemas.openxmlformats.org/spreadsheetml/2006/main" id="4" name="Table3" displayName="Table3" ref="A1:U1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ables/table5.xml><?xml version="1.0" encoding="utf-8"?>
<table xmlns="http://schemas.openxmlformats.org/spreadsheetml/2006/main" id="5" name="Table4" displayName="Table4" ref="A1:U1" headerRowCount="0" totalsRowCount="0" totalsRowShown="0">
  <tableColumns count="2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</tableColumns>
</table>
</file>

<file path=xl/tables/table6.xml><?xml version="1.0" encoding="utf-8"?>
<table xmlns="http://schemas.openxmlformats.org/spreadsheetml/2006/main" id="6" name="Table5" displayName="Table5" ref="A1:E228" headerRowCount="1" totalsRowCount="0" totalsRowShown="0">
  <tableColumns count="5">
    <tableColumn id="1" name="Date Onboarded "/>
    <tableColumn id="2" name="Owner"/>
    <tableColumn id="3" name="Property"/>
    <tableColumn id="4" name="Tenant"/>
    <tableColumn id="5" name="Note"/>
  </tableColumns>
</table>
</file>

<file path=xl/tables/table7.xml><?xml version="1.0" encoding="utf-8"?>
<table xmlns="http://schemas.openxmlformats.org/spreadsheetml/2006/main" id="7" name="Table_1" displayName="Table_1" ref="A230:Y230" headerRowCount="0" totalsRowCount="0" totalsRowShown="0">
  <tableColumns count="2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</tableColumns>
</table>
</file>

<file path=xl/tables/table8.xml><?xml version="1.0" encoding="utf-8"?>
<table xmlns="http://schemas.openxmlformats.org/spreadsheetml/2006/main" id="8" name="Table_2" displayName="Table_2" ref="A231:Y231" headerRowCount="0" totalsRowCount="0" totalsRowShown="0">
  <tableColumns count="2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</tableColumns>
</table>
</file>

<file path=xl/tables/table9.xml><?xml version="1.0" encoding="utf-8"?>
<table xmlns="http://schemas.openxmlformats.org/spreadsheetml/2006/main" id="9" name="Table_3" displayName="Table_3" ref="A232:Y235" headerRowCount="0" totalsRowCount="0" totalsRowShown="0">
  <tableColumns count="2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</tableColumns>
</table>
</file>

<file path=xl/tables/table10.xml><?xml version="1.0" encoding="utf-8"?>
<table xmlns="http://schemas.openxmlformats.org/spreadsheetml/2006/main" id="10" name="Table_4" displayName="Table_4" ref="A229:C229" headerRowCount="0" totalsRowCount="0" totalsRowShown="0">
  <tableColumns count="3">
    <tableColumn id="1" name="Column1"/>
    <tableColumn id="2" name="Column2"/>
    <tableColumn id="3" name="Column3"/>
  </tableColumns>
</table>
</file>

<file path=xl/tables/table11.xml><?xml version="1.0" encoding="utf-8"?>
<table xmlns="http://schemas.openxmlformats.org/spreadsheetml/2006/main" id="11" name="Table_5" displayName="Table_5" ref="A230:C230" headerRowCount="0" totalsRowCount="0" totalsRowShown="0">
  <tableColumns count="3">
    <tableColumn id="1" name="Column1"/>
    <tableColumn id="2" name="Column2"/>
    <tableColumn id="3" name="Column3"/>
  </tableColumns>
</table>
</file>

<file path=xl/tables/table12.xml><?xml version="1.0" encoding="utf-8"?>
<table xmlns="http://schemas.openxmlformats.org/spreadsheetml/2006/main" id="12" name="Table_6" displayName="Table_6" ref="A231:C234" headerRowCount="0" totalsRowCount="0" totalsRowShown="0">
  <tableColumns count="3">
    <tableColumn id="1" name="Column1"/>
    <tableColumn id="2" name="Column2"/>
    <tableColumn id="3" name="Column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100133647.breezeca.cafe/content/" TargetMode="External"/><Relationship Id="rId2" Type="http://schemas.openxmlformats.org/officeDocument/2006/relationships/hyperlink" Target="https://100133647.breezeca.cafe/content/" TargetMode="Externa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0.xml"/><Relationship Id="rId3" Type="http://schemas.openxmlformats.org/officeDocument/2006/relationships/table" Target="../tables/table11.xml"/><Relationship Id="rId4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6" min="5" style="0" width="16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</row>
    <row r="4" customFormat="false" ht="15" hidden="false" customHeight="false" outlineLevel="0" collapsed="false">
      <c r="B4" s="3" t="s">
        <v>2</v>
      </c>
      <c r="C4" s="4" t="n">
        <f aca="true">TODAY()</f>
        <v>46253</v>
      </c>
    </row>
    <row r="5" customFormat="false" ht="32.8" hidden="false" customHeight="false" outlineLevel="0" collapsed="false">
      <c r="B5" s="3" t="s">
        <v>3</v>
      </c>
      <c r="C5" s="5" t="n">
        <v>0.05</v>
      </c>
      <c r="D5" s="6" t="s">
        <v>4</v>
      </c>
    </row>
    <row r="6" customFormat="false" ht="64.15" hidden="false" customHeight="false" outlineLevel="0" collapsed="false">
      <c r="B6" s="3" t="s">
        <v>5</v>
      </c>
      <c r="C6" s="7"/>
      <c r="D6" s="6" t="s">
        <v>6</v>
      </c>
    </row>
    <row r="7" customFormat="false" ht="21.75" hidden="false" customHeight="true" outlineLevel="0" collapsed="false">
      <c r="B7" s="8" t="s">
        <v>7</v>
      </c>
      <c r="C7" s="8"/>
      <c r="D7" s="8"/>
      <c r="E7" s="8"/>
      <c r="F7" s="8"/>
    </row>
    <row r="8" customFormat="false" ht="18" hidden="false" customHeight="true" outlineLevel="0" collapsed="false">
      <c r="B8" s="9" t="s">
        <v>8</v>
      </c>
      <c r="C8" s="9" t="s">
        <v>9</v>
      </c>
      <c r="D8" s="9" t="s">
        <v>10</v>
      </c>
    </row>
    <row r="9" customFormat="false" ht="15" hidden="false" customHeight="false" outlineLevel="0" collapsed="false">
      <c r="B9" s="10" t="s">
        <v>11</v>
      </c>
      <c r="C9" s="11" t="n">
        <f aca="false">COUNTA('PM ONLY'!D2:D2000)</f>
        <v>229</v>
      </c>
      <c r="D9" s="6" t="s">
        <v>12</v>
      </c>
    </row>
    <row r="10" customFormat="false" ht="15" hidden="false" customHeight="false" outlineLevel="0" collapsed="false">
      <c r="B10" s="10" t="s">
        <v>13</v>
      </c>
      <c r="C10" s="11" t="n">
        <f aca="false">COUNTIF('PM ONLY'!I2:I2000,"Active")</f>
        <v>216</v>
      </c>
    </row>
    <row r="11" customFormat="false" ht="15" hidden="false" customHeight="false" outlineLevel="0" collapsed="false">
      <c r="B11" s="10" t="s">
        <v>14</v>
      </c>
      <c r="C11" s="11" t="n">
        <f aca="false">COUNTIF('PM ONLY'!I2:I2000,"Terminated")</f>
        <v>12</v>
      </c>
    </row>
    <row r="12" customFormat="false" ht="15" hidden="false" customHeight="false" outlineLevel="0" collapsed="false">
      <c r="B12" s="10" t="s">
        <v>15</v>
      </c>
      <c r="C12" s="11" t="n">
        <f aca="false">COUNTIF('PM ONLY'!H2:H2000,"Occupied")</f>
        <v>170</v>
      </c>
    </row>
    <row r="13" customFormat="false" ht="15" hidden="false" customHeight="false" outlineLevel="0" collapsed="false">
      <c r="B13" s="10" t="s">
        <v>16</v>
      </c>
      <c r="C13" s="11" t="n">
        <f aca="false">COUNTIF('PM ONLY'!H2:H2000,"Vacant")</f>
        <v>54</v>
      </c>
    </row>
    <row r="14" customFormat="false" ht="22.35" hidden="false" customHeight="false" outlineLevel="0" collapsed="false">
      <c r="B14" s="10" t="s">
        <v>17</v>
      </c>
      <c r="C14" s="11" t="n">
        <f aca="false">COUNTIF('PM ONLY'!H2:H2000,"Take over")</f>
        <v>3</v>
      </c>
      <c r="D14" s="6" t="s">
        <v>18</v>
      </c>
    </row>
    <row r="15" customFormat="false" ht="15" hidden="false" customHeight="false" outlineLevel="0" collapsed="false">
      <c r="B15" s="10" t="s">
        <v>19</v>
      </c>
      <c r="C15" s="12" t="n">
        <f aca="false">IFERROR(C12/(C12+C13+C14),0)</f>
        <v>0.748898678414097</v>
      </c>
      <c r="D15" s="6" t="s">
        <v>20</v>
      </c>
    </row>
    <row r="17" customFormat="false" ht="18" hidden="false" customHeight="true" outlineLevel="0" collapsed="false">
      <c r="B17" s="13" t="s">
        <v>21</v>
      </c>
      <c r="C17" s="13"/>
      <c r="D17" s="13"/>
      <c r="E17" s="13"/>
      <c r="F17" s="13"/>
    </row>
    <row r="18" customFormat="false" ht="18" hidden="false" customHeight="true" outlineLevel="0" collapsed="false">
      <c r="B18" s="9" t="s">
        <v>22</v>
      </c>
      <c r="C18" s="9" t="s">
        <v>13</v>
      </c>
      <c r="D18" s="9" t="s">
        <v>23</v>
      </c>
      <c r="E18" s="9" t="s">
        <v>24</v>
      </c>
    </row>
    <row r="19" customFormat="false" ht="15" hidden="false" customHeight="false" outlineLevel="0" collapsed="false">
      <c r="B19" s="10" t="s">
        <v>25</v>
      </c>
      <c r="C19" s="11" t="n">
        <f aca="false">COUNTIFS('PM ONLY'!F2:F2000,$B19,'PM ONLY'!I2:I2000,"Active")</f>
        <v>97</v>
      </c>
      <c r="D19" s="11" t="n">
        <f aca="false">COUNTIF('PM ONLY'!F2:F2000,$B19)</f>
        <v>97</v>
      </c>
      <c r="E19" s="12" t="n">
        <f aca="false">IFERROR(C19/$C$10,0)</f>
        <v>0.449074074074074</v>
      </c>
    </row>
    <row r="20" customFormat="false" ht="15" hidden="false" customHeight="false" outlineLevel="0" collapsed="false">
      <c r="B20" s="10" t="s">
        <v>26</v>
      </c>
      <c r="C20" s="11" t="n">
        <f aca="false">COUNTIFS('PM ONLY'!F2:F2000,$B20,'PM ONLY'!I2:I2000,"Active")</f>
        <v>38</v>
      </c>
      <c r="D20" s="11" t="n">
        <f aca="false">COUNTIF('PM ONLY'!F2:F2000,$B20)</f>
        <v>47</v>
      </c>
      <c r="E20" s="12" t="n">
        <f aca="false">IFERROR(C20/$C$10,0)</f>
        <v>0.175925925925926</v>
      </c>
    </row>
    <row r="21" customFormat="false" ht="15" hidden="false" customHeight="false" outlineLevel="0" collapsed="false">
      <c r="B21" s="10" t="s">
        <v>27</v>
      </c>
      <c r="C21" s="11" t="n">
        <f aca="false">COUNTIFS('PM ONLY'!F2:F2000,$B21,'PM ONLY'!I2:I2000,"Active")</f>
        <v>42</v>
      </c>
      <c r="D21" s="11" t="n">
        <f aca="false">COUNTIF('PM ONLY'!F2:F2000,$B21)</f>
        <v>42</v>
      </c>
      <c r="E21" s="12" t="n">
        <f aca="false">IFERROR(C21/$C$10,0)</f>
        <v>0.194444444444444</v>
      </c>
    </row>
    <row r="22" customFormat="false" ht="15" hidden="false" customHeight="false" outlineLevel="0" collapsed="false">
      <c r="B22" s="10" t="s">
        <v>28</v>
      </c>
      <c r="C22" s="11" t="n">
        <f aca="false">COUNTIFS('PM ONLY'!F2:F2000,$B22,'PM ONLY'!I2:I2000,"Active")</f>
        <v>26</v>
      </c>
      <c r="D22" s="11" t="n">
        <f aca="false">COUNTIF('PM ONLY'!F2:F2000,$B22)</f>
        <v>26</v>
      </c>
      <c r="E22" s="12" t="n">
        <f aca="false">IFERROR(C22/$C$10,0)</f>
        <v>0.12037037037037</v>
      </c>
    </row>
    <row r="23" customFormat="false" ht="15" hidden="false" customHeight="false" outlineLevel="0" collapsed="false">
      <c r="B23" s="10" t="s">
        <v>29</v>
      </c>
      <c r="C23" s="11" t="n">
        <f aca="false">COUNTIFS('PM ONLY'!F2:F2000,$B23,'PM ONLY'!I2:I2000,"Active")</f>
        <v>8</v>
      </c>
      <c r="D23" s="11" t="n">
        <f aca="false">COUNTIF('PM ONLY'!F2:F2000,$B23)</f>
        <v>9</v>
      </c>
      <c r="E23" s="12" t="n">
        <f aca="false">IFERROR(C23/$C$10,0)</f>
        <v>0.037037037037037</v>
      </c>
    </row>
    <row r="24" customFormat="false" ht="15" hidden="false" customHeight="false" outlineLevel="0" collapsed="false">
      <c r="B24" s="10" t="s">
        <v>30</v>
      </c>
      <c r="C24" s="11" t="n">
        <f aca="false">COUNTIFS('PM ONLY'!F2:F2000,$B24,'PM ONLY'!I2:I2000,"Active")</f>
        <v>3</v>
      </c>
      <c r="D24" s="11" t="n">
        <f aca="false">COUNTIF('PM ONLY'!F2:F2000,$B24)</f>
        <v>3</v>
      </c>
      <c r="E24" s="12" t="n">
        <f aca="false">IFERROR(C24/$C$10,0)</f>
        <v>0.0138888888888889</v>
      </c>
    </row>
    <row r="25" customFormat="false" ht="15" hidden="false" customHeight="false" outlineLevel="0" collapsed="false">
      <c r="B25" s="10" t="s">
        <v>31</v>
      </c>
      <c r="C25" s="11" t="n">
        <f aca="false">COUNTIFS('PM ONLY'!F2:F2000,$B25,'PM ONLY'!I2:I2000,"Active")</f>
        <v>1</v>
      </c>
      <c r="D25" s="11" t="n">
        <f aca="false">COUNTIF('PM ONLY'!F2:F2000,$B25)</f>
        <v>3</v>
      </c>
      <c r="E25" s="12" t="n">
        <f aca="false">IFERROR(C25/$C$10,0)</f>
        <v>0.00462962962962963</v>
      </c>
    </row>
    <row r="26" customFormat="false" ht="15" hidden="false" customHeight="false" outlineLevel="0" collapsed="false">
      <c r="B26" s="10" t="s">
        <v>32</v>
      </c>
      <c r="C26" s="11" t="n">
        <f aca="false">COUNTIFS('PM ONLY'!F2:F2000,$B26,'PM ONLY'!I2:I2000,"Active")</f>
        <v>0</v>
      </c>
      <c r="D26" s="11" t="n">
        <f aca="false">COUNTIF('PM ONLY'!F2:F2000,$B26)</f>
        <v>1</v>
      </c>
      <c r="E26" s="12" t="n">
        <f aca="false">IFERROR(C26/$C$10,0)</f>
        <v>0</v>
      </c>
    </row>
    <row r="27" customFormat="false" ht="15" hidden="false" customHeight="false" outlineLevel="0" collapsed="false">
      <c r="B27" s="10" t="s">
        <v>33</v>
      </c>
      <c r="C27" s="11" t="n">
        <f aca="false">COUNTIFS('PM ONLY'!F2:F2000,$B27,'PM ONLY'!I2:I2000,"Active")</f>
        <v>1</v>
      </c>
      <c r="D27" s="11" t="n">
        <f aca="false">COUNTIF('PM ONLY'!F2:F2000,$B27)</f>
        <v>1</v>
      </c>
      <c r="E27" s="12" t="n">
        <f aca="false">IFERROR(C27/$C$10,0)</f>
        <v>0.00462962962962963</v>
      </c>
    </row>
    <row r="29" customFormat="false" ht="21.75" hidden="false" customHeight="true" outlineLevel="0" collapsed="false">
      <c r="B29" s="8" t="s">
        <v>34</v>
      </c>
      <c r="C29" s="8"/>
      <c r="D29" s="8"/>
      <c r="E29" s="8"/>
      <c r="F29" s="8"/>
    </row>
    <row r="30" customFormat="false" ht="18" hidden="false" customHeight="true" outlineLevel="0" collapsed="false">
      <c r="B30" s="9" t="s">
        <v>8</v>
      </c>
      <c r="C30" s="9" t="s">
        <v>9</v>
      </c>
      <c r="D30" s="9" t="s">
        <v>10</v>
      </c>
    </row>
    <row r="31" customFormat="false" ht="15" hidden="false" customHeight="false" outlineLevel="0" collapsed="false">
      <c r="B31" s="10" t="s">
        <v>35</v>
      </c>
      <c r="C31" s="14" t="n">
        <f aca="false">SUM('PM ONLY'!P2:P2000)</f>
        <v>249643</v>
      </c>
    </row>
    <row r="32" customFormat="false" ht="22.35" hidden="false" customHeight="false" outlineLevel="0" collapsed="false">
      <c r="B32" s="10" t="s">
        <v>36</v>
      </c>
      <c r="C32" s="14" t="n">
        <f aca="false">SUM('LEASE ONLY'!M2:M1000)</f>
        <v>5480</v>
      </c>
      <c r="D32" s="6" t="s">
        <v>37</v>
      </c>
    </row>
    <row r="33" customFormat="false" ht="15" hidden="false" customHeight="false" outlineLevel="0" collapsed="false">
      <c r="B33" s="10" t="s">
        <v>38</v>
      </c>
      <c r="C33" s="14" t="n">
        <f aca="false">SUM('PM ONLY'!U2:U2000)</f>
        <v>12623.675</v>
      </c>
    </row>
    <row r="34" customFormat="false" ht="22.35" hidden="false" customHeight="false" outlineLevel="0" collapsed="false">
      <c r="B34" s="10" t="s">
        <v>39</v>
      </c>
      <c r="C34" s="14" t="n">
        <f aca="false">C33*(1+$C$5)</f>
        <v>13254.85875</v>
      </c>
      <c r="D34" s="6" t="s">
        <v>40</v>
      </c>
    </row>
    <row r="35" customFormat="false" ht="15" hidden="false" customHeight="false" outlineLevel="0" collapsed="false">
      <c r="B35" s="10" t="s">
        <v>41</v>
      </c>
      <c r="C35" s="14" t="n">
        <f aca="false">SUM('PM ONLY'!O2:O2000)</f>
        <v>85458</v>
      </c>
    </row>
    <row r="36" customFormat="false" ht="22.35" hidden="false" customHeight="false" outlineLevel="0" collapsed="false">
      <c r="B36" s="10" t="s">
        <v>42</v>
      </c>
      <c r="C36" s="14" t="n">
        <f aca="false">SUM('LEASE ONLY'!Q2:Q1000)</f>
        <v>11957.4</v>
      </c>
      <c r="D36" s="6" t="s">
        <v>43</v>
      </c>
    </row>
    <row r="37" customFormat="false" ht="15" hidden="false" customHeight="false" outlineLevel="0" collapsed="false">
      <c r="B37" s="10" t="s">
        <v>44</v>
      </c>
      <c r="C37" s="14" t="n">
        <f aca="false">SUM('PM ONLY'!X2:X2000)</f>
        <v>221171.26625</v>
      </c>
    </row>
    <row r="38" customFormat="false" ht="15" hidden="false" customHeight="false" outlineLevel="0" collapsed="false">
      <c r="B38" s="10" t="s">
        <v>45</v>
      </c>
      <c r="C38" s="14" t="n">
        <f aca="false">SUM('LEASE ONLY'!S2:S1000)</f>
        <v>-6377.4</v>
      </c>
    </row>
    <row r="39" customFormat="false" ht="15" hidden="false" customHeight="false" outlineLevel="0" collapsed="false">
      <c r="B39" s="10" t="s">
        <v>46</v>
      </c>
      <c r="C39" s="14" t="n">
        <f aca="false">C37+C38</f>
        <v>214793.86625</v>
      </c>
    </row>
    <row r="40" customFormat="false" ht="15" hidden="false" customHeight="false" outlineLevel="0" collapsed="false">
      <c r="B40" s="10" t="s">
        <v>47</v>
      </c>
      <c r="C40" s="14" t="n">
        <f aca="false">SUM('PM ONLY'!Q2:Q2000)</f>
        <v>2540</v>
      </c>
    </row>
    <row r="41" customFormat="false" ht="15" hidden="false" customHeight="false" outlineLevel="0" collapsed="false">
      <c r="B41" s="10" t="s">
        <v>48</v>
      </c>
      <c r="C41" s="14" t="n">
        <f aca="false">SUM('PM ONLY'!R2:R2000)</f>
        <v>1180</v>
      </c>
    </row>
    <row r="42" customFormat="false" ht="15" hidden="false" customHeight="false" outlineLevel="0" collapsed="false">
      <c r="B42" s="10" t="s">
        <v>49</v>
      </c>
      <c r="C42" s="14" t="n">
        <f aca="false">SUM('PM ONLY'!S2:S2000)</f>
        <v>50</v>
      </c>
    </row>
    <row r="44" customFormat="false" ht="21.75" hidden="false" customHeight="true" outlineLevel="0" collapsed="false">
      <c r="B44" s="8" t="s">
        <v>50</v>
      </c>
      <c r="C44" s="8"/>
      <c r="D44" s="8"/>
      <c r="E44" s="8"/>
      <c r="F44" s="8"/>
    </row>
    <row r="45" customFormat="false" ht="18" hidden="false" customHeight="true" outlineLevel="0" collapsed="false">
      <c r="B45" s="9" t="s">
        <v>8</v>
      </c>
      <c r="C45" s="9" t="s">
        <v>9</v>
      </c>
      <c r="D45" s="9" t="s">
        <v>10</v>
      </c>
    </row>
    <row r="46" customFormat="false" ht="22.35" hidden="false" customHeight="false" outlineLevel="0" collapsed="false">
      <c r="B46" s="10" t="s">
        <v>51</v>
      </c>
      <c r="C46" s="11" t="n">
        <f aca="false">COUNTIFS('PM ONLY'!I2:I2000,"Active",'PM ONLY'!N2:N2000,"&gt;="&amp;$C$4,'PM ONLY'!N2:N2000,"&lt;="&amp;$C$4+30)</f>
        <v>3</v>
      </c>
      <c r="D46" s="6" t="s">
        <v>52</v>
      </c>
    </row>
    <row r="47" customFormat="false" ht="22.35" hidden="false" customHeight="false" outlineLevel="0" collapsed="false">
      <c r="B47" s="10" t="s">
        <v>53</v>
      </c>
      <c r="C47" s="11" t="n">
        <f aca="false">COUNTIFS('PM ONLY'!I2:I2000,"Active",'PM ONLY'!N2:N2000,"&gt;="&amp;$C$4,'PM ONLY'!N2:N2000,"&lt;="&amp;$C$4+60)</f>
        <v>3</v>
      </c>
      <c r="D47" s="6" t="s">
        <v>52</v>
      </c>
    </row>
    <row r="48" customFormat="false" ht="22.35" hidden="false" customHeight="false" outlineLevel="0" collapsed="false">
      <c r="B48" s="10" t="s">
        <v>54</v>
      </c>
      <c r="C48" s="11" t="n">
        <f aca="false">COUNTIFS('PM ONLY'!I2:I2000,"Active",'PM ONLY'!N2:N2000,"&gt;="&amp;$C$4,'PM ONLY'!N2:N2000,"&lt;="&amp;$C$4+90)</f>
        <v>8</v>
      </c>
      <c r="D48" s="6" t="s">
        <v>52</v>
      </c>
    </row>
    <row r="49" customFormat="false" ht="15" hidden="false" customHeight="false" outlineLevel="0" collapsed="false">
      <c r="B49" s="10" t="s">
        <v>55</v>
      </c>
      <c r="C49" s="11" t="n">
        <f aca="false">COUNTIFS('PM ONLY'!H2:H2000,"Vacant",'PM ONLY'!I2:I2000,"Active")</f>
        <v>43</v>
      </c>
    </row>
    <row r="50" customFormat="false" ht="22.35" hidden="false" customHeight="false" outlineLevel="0" collapsed="false">
      <c r="B50" s="10" t="s">
        <v>56</v>
      </c>
      <c r="C50" s="11" t="n">
        <f aca="false">COUNTIFS('PM ONLY'!M2:M2000,"&gt;="&amp;DATE(YEAR($C$4),MONTH($C$4),1),'PM ONLY'!M2:M2000,"&lt;="&amp;$C$4)</f>
        <v>2</v>
      </c>
      <c r="D50" s="6" t="s">
        <v>57</v>
      </c>
    </row>
    <row r="52" customFormat="false" ht="21.75" hidden="false" customHeight="true" outlineLevel="0" collapsed="false">
      <c r="B52" s="8" t="s">
        <v>58</v>
      </c>
      <c r="C52" s="8"/>
      <c r="D52" s="8"/>
      <c r="E52" s="8"/>
      <c r="F52" s="8"/>
    </row>
    <row r="53" customFormat="false" ht="18" hidden="false" customHeight="true" outlineLevel="0" collapsed="false">
      <c r="B53" s="9" t="s">
        <v>8</v>
      </c>
      <c r="C53" s="9" t="s">
        <v>9</v>
      </c>
      <c r="D53" s="9" t="s">
        <v>10</v>
      </c>
    </row>
    <row r="54" customFormat="false" ht="15" hidden="false" customHeight="false" outlineLevel="0" collapsed="false">
      <c r="B54" s="10" t="s">
        <v>59</v>
      </c>
      <c r="C54" s="11" t="n">
        <f aca="false">COUNTIFS('Len-Onboarded'!A2:A500,"&gt;="&amp;DATE(YEAR($C$4),MONTH($C$4),1),'Len-Onboarded'!A2:A500,"&lt;="&amp;$C$4)</f>
        <v>2</v>
      </c>
    </row>
    <row r="55" customFormat="false" ht="15" hidden="false" customHeight="false" outlineLevel="0" collapsed="false">
      <c r="B55" s="10" t="s">
        <v>60</v>
      </c>
      <c r="C55" s="11" t="n">
        <f aca="false">COUNTIFS('Len-Onboarded'!A2:A500,"&gt;="&amp;DATE(YEAR($C$4),MONTH($C$4)-MOD(MONTH($C$4)-1,3),1),'Len-Onboarded'!A2:A500,"&lt;="&amp;$C$4)</f>
        <v>2</v>
      </c>
    </row>
    <row r="56" customFormat="false" ht="15" hidden="false" customHeight="false" outlineLevel="0" collapsed="false">
      <c r="B56" s="10" t="s">
        <v>61</v>
      </c>
      <c r="C56" s="11" t="n">
        <f aca="false">COUNTIFS('PM ONLY'!A2:A2000,"&gt;="&amp;DATE(YEAR($C$4),MONTH($C$4),1),'PM ONLY'!A2:A2000,"&lt;="&amp;$C$4)</f>
        <v>7</v>
      </c>
    </row>
    <row r="57" customFormat="false" ht="15" hidden="false" customHeight="false" outlineLevel="0" collapsed="false">
      <c r="B57" s="10" t="s">
        <v>62</v>
      </c>
      <c r="C57" s="11" t="n">
        <f aca="false">COUNTIFS('PM ONLY'!A2:A2000,"&gt;="&amp;DATE(YEAR($C$4),MONTH($C$4)-MOD(MONTH($C$4)-1,3),1),'PM ONLY'!A2:A2000,"&lt;="&amp;$C$4)</f>
        <v>11</v>
      </c>
    </row>
    <row r="59" customFormat="false" ht="21.75" hidden="false" customHeight="true" outlineLevel="0" collapsed="false">
      <c r="B59" s="8" t="s">
        <v>63</v>
      </c>
      <c r="C59" s="8"/>
      <c r="D59" s="8"/>
      <c r="E59" s="8"/>
      <c r="F59" s="8"/>
    </row>
    <row r="60" customFormat="false" ht="18" hidden="false" customHeight="true" outlineLevel="0" collapsed="false">
      <c r="B60" s="9" t="s">
        <v>8</v>
      </c>
      <c r="C60" s="9" t="s">
        <v>9</v>
      </c>
      <c r="D60" s="9" t="s">
        <v>10</v>
      </c>
    </row>
    <row r="61" customFormat="false" ht="22.35" hidden="false" customHeight="false" outlineLevel="0" collapsed="false">
      <c r="B61" s="10" t="s">
        <v>64</v>
      </c>
      <c r="C61" s="11" t="n">
        <f aca="false">SUMPRODUCT(('PM ONLY'!A2:A2000&lt;&gt;"")*(ISNUMBER('PM ONLY'!A2:A2000)=FALSE()))</f>
        <v>7</v>
      </c>
      <c r="D61" s="6" t="s">
        <v>65</v>
      </c>
    </row>
    <row r="62" customFormat="false" ht="15" hidden="false" customHeight="false" outlineLevel="0" collapsed="false">
      <c r="B62" s="10" t="s">
        <v>66</v>
      </c>
      <c r="C62" s="11" t="n">
        <f aca="false">SUMPRODUCT(('PM ONLY'!M2:M2000&lt;&gt;"")*(ISNUMBER('PM ONLY'!M2:M2000)=FALSE()))</f>
        <v>1</v>
      </c>
      <c r="D62" s="6" t="s">
        <v>67</v>
      </c>
    </row>
    <row r="63" customFormat="false" ht="15" hidden="false" customHeight="false" outlineLevel="0" collapsed="false">
      <c r="B63" s="10" t="s">
        <v>68</v>
      </c>
      <c r="C63" s="11" t="n">
        <f aca="false">SUMPRODUCT(('LEASE ONLY'!A2:A1000&lt;&gt;"")*(ISNUMBER('LEASE ONLY'!A2:A1000)=FALSE()))</f>
        <v>1</v>
      </c>
      <c r="D63" s="6" t="s">
        <v>69</v>
      </c>
    </row>
    <row r="64" customFormat="false" ht="15" hidden="false" customHeight="false" outlineLevel="0" collapsed="false">
      <c r="B64" s="10" t="s">
        <v>70</v>
      </c>
      <c r="C64" s="11" t="n">
        <f aca="false">SUMPRODUCT(('PM ONLY'!H2:H2000="Occupied")*('PM ONLY'!J2:J2000=""))</f>
        <v>20</v>
      </c>
    </row>
    <row r="65" customFormat="false" ht="15" hidden="false" customHeight="false" outlineLevel="0" collapsed="false">
      <c r="B65" s="10" t="s">
        <v>71</v>
      </c>
      <c r="C65" s="11" t="n">
        <f aca="false">SUMPRODUCT(('PM ONLY'!H2:H2000="Occupied")*('PM ONLY'!K2:K2000=""))</f>
        <v>42</v>
      </c>
    </row>
    <row r="66" customFormat="false" ht="15" hidden="false" customHeight="false" outlineLevel="0" collapsed="false">
      <c r="B66" s="10" t="s">
        <v>72</v>
      </c>
      <c r="C66" s="11" t="n">
        <f aca="false">SUMPRODUCT(('PM ONLY'!H2:H2000="Occupied")*('PM ONLY'!L2:L2000=""))</f>
        <v>60</v>
      </c>
    </row>
    <row r="68" customFormat="false" ht="18" hidden="false" customHeight="true" outlineLevel="0" collapsed="false">
      <c r="B68" s="13" t="s">
        <v>73</v>
      </c>
      <c r="C68" s="13"/>
      <c r="D68" s="13"/>
      <c r="E68" s="13"/>
      <c r="F68" s="13"/>
    </row>
    <row r="69" customFormat="false" ht="25.5" hidden="false" customHeight="true" outlineLevel="0" collapsed="false">
      <c r="B69" s="15" t="s">
        <v>74</v>
      </c>
      <c r="C69" s="15"/>
      <c r="D69" s="15"/>
      <c r="E69" s="15"/>
      <c r="F69" s="15"/>
    </row>
    <row r="70" customFormat="false" ht="25.5" hidden="false" customHeight="true" outlineLevel="0" collapsed="false">
      <c r="B70" s="15" t="s">
        <v>75</v>
      </c>
      <c r="C70" s="15"/>
      <c r="D70" s="15"/>
      <c r="E70" s="15"/>
      <c r="F70" s="15"/>
    </row>
    <row r="71" customFormat="false" ht="25.5" hidden="false" customHeight="true" outlineLevel="0" collapsed="false">
      <c r="B71" s="15" t="s">
        <v>76</v>
      </c>
      <c r="C71" s="15"/>
      <c r="D71" s="15"/>
      <c r="E71" s="15"/>
      <c r="F71" s="15"/>
    </row>
    <row r="72" customFormat="false" ht="25.5" hidden="false" customHeight="true" outlineLevel="0" collapsed="false">
      <c r="B72" s="15" t="s">
        <v>77</v>
      </c>
      <c r="C72" s="15"/>
      <c r="D72" s="15"/>
      <c r="E72" s="15"/>
      <c r="F72" s="15"/>
    </row>
    <row r="73" customFormat="false" ht="25.5" hidden="false" customHeight="true" outlineLevel="0" collapsed="false">
      <c r="B73" s="15" t="s">
        <v>78</v>
      </c>
      <c r="C73" s="15"/>
      <c r="D73" s="15"/>
      <c r="E73" s="15"/>
      <c r="F73" s="15"/>
    </row>
    <row r="74" customFormat="false" ht="25.5" hidden="false" customHeight="true" outlineLevel="0" collapsed="false">
      <c r="B74" s="15" t="s">
        <v>79</v>
      </c>
      <c r="C74" s="15"/>
      <c r="D74" s="15"/>
      <c r="E74" s="15"/>
      <c r="F74" s="15"/>
    </row>
  </sheetData>
  <mergeCells count="15">
    <mergeCell ref="B1:F1"/>
    <mergeCell ref="B2:F2"/>
    <mergeCell ref="B7:F7"/>
    <mergeCell ref="B17:F17"/>
    <mergeCell ref="B29:F29"/>
    <mergeCell ref="B44:F44"/>
    <mergeCell ref="B52:F52"/>
    <mergeCell ref="B59:F59"/>
    <mergeCell ref="B68:F68"/>
    <mergeCell ref="B69:F69"/>
    <mergeCell ref="B70:F70"/>
    <mergeCell ref="B71:F71"/>
    <mergeCell ref="B72:F72"/>
    <mergeCell ref="B73:F73"/>
    <mergeCell ref="B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3.88"/>
    <col collapsed="false" customWidth="true" hidden="false" outlineLevel="0" max="2" min="2" style="0" width="18.13"/>
    <col collapsed="false" customWidth="true" hidden="false" outlineLevel="0" max="3" min="3" style="0" width="28.5"/>
    <col collapsed="false" customWidth="true" hidden="false" outlineLevel="0" max="4" min="4" style="0" width="73.75"/>
    <col collapsed="false" customWidth="true" hidden="false" outlineLevel="0" max="5" min="5" style="0" width="9.88"/>
    <col collapsed="false" customWidth="true" hidden="false" outlineLevel="0" max="6" min="6" style="0" width="18.5"/>
    <col collapsed="false" customWidth="true" hidden="true" outlineLevel="0" max="7" min="7" style="0" width="23"/>
    <col collapsed="false" customWidth="true" hidden="false" outlineLevel="0" max="8" min="8" style="0" width="22.13"/>
    <col collapsed="false" customWidth="true" hidden="false" outlineLevel="0" max="9" min="9" style="0" width="19.38"/>
    <col collapsed="false" customWidth="true" hidden="false" outlineLevel="0" max="10" min="10" style="0" width="31.63"/>
    <col collapsed="false" customWidth="true" hidden="false" outlineLevel="0" max="11" min="11" style="0" width="35.25"/>
    <col collapsed="false" customWidth="true" hidden="false" outlineLevel="0" max="12" min="12" style="0" width="19"/>
    <col collapsed="false" customWidth="true" hidden="false" outlineLevel="0" max="13" min="13" style="0" width="16.25"/>
    <col collapsed="false" customWidth="true" hidden="false" outlineLevel="0" max="14" min="14" style="0" width="17.25"/>
    <col collapsed="false" customWidth="true" hidden="false" outlineLevel="0" max="15" min="15" style="0" width="17.63"/>
    <col collapsed="false" customWidth="true" hidden="false" outlineLevel="0" max="16" min="16" style="0" width="12.13"/>
    <col collapsed="false" customWidth="true" hidden="false" outlineLevel="0" max="17" min="17" style="0" width="14.25"/>
    <col collapsed="false" customWidth="true" hidden="false" outlineLevel="0" max="18" min="18" style="0" width="14.38"/>
    <col collapsed="false" customWidth="true" hidden="false" outlineLevel="0" max="19" min="19" style="0" width="14.51"/>
    <col collapsed="false" customWidth="true" hidden="false" outlineLevel="0" max="20" min="20" style="0" width="23.25"/>
    <col collapsed="false" customWidth="true" hidden="false" outlineLevel="0" max="22" min="21" style="0" width="21.63"/>
    <col collapsed="false" customWidth="true" hidden="false" outlineLevel="0" max="23" min="23" style="0" width="23.63"/>
    <col collapsed="false" customWidth="true" hidden="false" outlineLevel="0" max="24" min="24" style="0" width="25"/>
    <col collapsed="false" customWidth="true" hidden="false" outlineLevel="0" max="25" min="25" style="0" width="55.38"/>
  </cols>
  <sheetData>
    <row r="1" customFormat="false" ht="22.5" hidden="false" customHeight="true" outlineLevel="0" collapsed="false">
      <c r="A1" s="16" t="s">
        <v>80</v>
      </c>
      <c r="B1" s="16" t="s">
        <v>81</v>
      </c>
      <c r="C1" s="17" t="s">
        <v>82</v>
      </c>
      <c r="D1" s="17" t="s">
        <v>83</v>
      </c>
      <c r="E1" s="18" t="s">
        <v>84</v>
      </c>
      <c r="F1" s="16" t="s">
        <v>22</v>
      </c>
      <c r="G1" s="16" t="s">
        <v>85</v>
      </c>
      <c r="H1" s="16" t="s">
        <v>86</v>
      </c>
      <c r="I1" s="16" t="s">
        <v>87</v>
      </c>
      <c r="J1" s="16" t="s">
        <v>88</v>
      </c>
      <c r="K1" s="16" t="s">
        <v>89</v>
      </c>
      <c r="L1" s="16" t="s">
        <v>90</v>
      </c>
      <c r="M1" s="16" t="s">
        <v>91</v>
      </c>
      <c r="N1" s="16" t="s">
        <v>92</v>
      </c>
      <c r="O1" s="16" t="s">
        <v>93</v>
      </c>
      <c r="P1" s="16" t="s">
        <v>94</v>
      </c>
      <c r="Q1" s="16" t="s">
        <v>95</v>
      </c>
      <c r="R1" s="16" t="s">
        <v>96</v>
      </c>
      <c r="S1" s="16" t="s">
        <v>97</v>
      </c>
      <c r="T1" s="16" t="s">
        <v>98</v>
      </c>
      <c r="U1" s="16" t="s">
        <v>99</v>
      </c>
      <c r="V1" s="19" t="s">
        <v>100</v>
      </c>
      <c r="W1" s="16" t="s">
        <v>101</v>
      </c>
      <c r="X1" s="16" t="s">
        <v>102</v>
      </c>
      <c r="Y1" s="16" t="s">
        <v>10</v>
      </c>
      <c r="Z1" s="20"/>
      <c r="AA1" s="20"/>
    </row>
    <row r="2" customFormat="false" ht="22.5" hidden="false" customHeight="true" outlineLevel="0" collapsed="false">
      <c r="A2" s="21" t="n">
        <v>46115</v>
      </c>
      <c r="B2" s="22" t="s">
        <v>103</v>
      </c>
      <c r="C2" s="23" t="s">
        <v>104</v>
      </c>
      <c r="D2" s="24" t="s">
        <v>105</v>
      </c>
      <c r="E2" s="25" t="s">
        <v>106</v>
      </c>
      <c r="F2" s="26" t="s">
        <v>25</v>
      </c>
      <c r="G2" s="27"/>
      <c r="H2" s="22" t="s">
        <v>107</v>
      </c>
      <c r="I2" s="22" t="s">
        <v>108</v>
      </c>
      <c r="J2" s="28"/>
      <c r="K2" s="28"/>
      <c r="L2" s="28"/>
      <c r="M2" s="29"/>
      <c r="N2" s="27"/>
      <c r="O2" s="30" t="n">
        <v>599</v>
      </c>
      <c r="P2" s="31"/>
      <c r="Q2" s="31"/>
      <c r="R2" s="31"/>
      <c r="S2" s="31"/>
      <c r="T2" s="32" t="n">
        <v>0.05</v>
      </c>
      <c r="U2" s="33" t="n">
        <f aca="false">P2*T2</f>
        <v>0</v>
      </c>
      <c r="V2" s="33"/>
      <c r="W2" s="34" t="n">
        <f aca="false">P2+Q2+R2+S2</f>
        <v>0</v>
      </c>
      <c r="X2" s="34" t="n">
        <f aca="false">SUM(P2:S2)-U2</f>
        <v>0</v>
      </c>
      <c r="Y2" s="28"/>
    </row>
    <row r="3" customFormat="false" ht="22.5" hidden="false" customHeight="true" outlineLevel="0" collapsed="false">
      <c r="A3" s="35" t="n">
        <v>46115</v>
      </c>
      <c r="B3" s="36" t="s">
        <v>103</v>
      </c>
      <c r="C3" s="37" t="s">
        <v>104</v>
      </c>
      <c r="D3" s="38" t="s">
        <v>105</v>
      </c>
      <c r="E3" s="39" t="s">
        <v>109</v>
      </c>
      <c r="F3" s="40" t="s">
        <v>25</v>
      </c>
      <c r="G3" s="41"/>
      <c r="H3" s="36" t="s">
        <v>107</v>
      </c>
      <c r="I3" s="36" t="s">
        <v>108</v>
      </c>
      <c r="J3" s="42"/>
      <c r="K3" s="42"/>
      <c r="L3" s="42"/>
      <c r="M3" s="43"/>
      <c r="N3" s="41"/>
      <c r="O3" s="30" t="n">
        <v>599</v>
      </c>
      <c r="P3" s="44"/>
      <c r="Q3" s="44"/>
      <c r="R3" s="44"/>
      <c r="S3" s="44"/>
      <c r="T3" s="32" t="n">
        <v>0.05</v>
      </c>
      <c r="U3" s="45" t="n">
        <f aca="false">P3*T3</f>
        <v>0</v>
      </c>
      <c r="V3" s="45"/>
      <c r="W3" s="46" t="n">
        <f aca="false">P3+Q3+R3+S3</f>
        <v>0</v>
      </c>
      <c r="X3" s="46" t="n">
        <f aca="false">SUM(P3:S3)-U3</f>
        <v>0</v>
      </c>
      <c r="Y3" s="42"/>
    </row>
    <row r="4" customFormat="false" ht="22.5" hidden="false" customHeight="true" outlineLevel="0" collapsed="false">
      <c r="A4" s="21" t="n">
        <v>46115</v>
      </c>
      <c r="B4" s="22" t="s">
        <v>103</v>
      </c>
      <c r="C4" s="23" t="s">
        <v>104</v>
      </c>
      <c r="D4" s="24" t="s">
        <v>105</v>
      </c>
      <c r="E4" s="25" t="s">
        <v>110</v>
      </c>
      <c r="F4" s="26" t="s">
        <v>25</v>
      </c>
      <c r="G4" s="27"/>
      <c r="H4" s="22" t="s">
        <v>107</v>
      </c>
      <c r="I4" s="22" t="s">
        <v>108</v>
      </c>
      <c r="J4" s="28"/>
      <c r="K4" s="28"/>
      <c r="L4" s="28"/>
      <c r="M4" s="29"/>
      <c r="N4" s="27"/>
      <c r="O4" s="30" t="n">
        <v>599</v>
      </c>
      <c r="P4" s="31"/>
      <c r="Q4" s="31"/>
      <c r="R4" s="31"/>
      <c r="S4" s="31"/>
      <c r="T4" s="32" t="n">
        <v>0.05</v>
      </c>
      <c r="U4" s="33" t="n">
        <f aca="false">P4*T4</f>
        <v>0</v>
      </c>
      <c r="V4" s="33"/>
      <c r="W4" s="34" t="n">
        <f aca="false">P4+Q4+R4+S4</f>
        <v>0</v>
      </c>
      <c r="X4" s="34" t="n">
        <f aca="false">SUM(P4:S4)-U4</f>
        <v>0</v>
      </c>
      <c r="Y4" s="28"/>
    </row>
    <row r="5" customFormat="false" ht="22.5" hidden="false" customHeight="true" outlineLevel="0" collapsed="false">
      <c r="A5" s="35" t="n">
        <v>46115</v>
      </c>
      <c r="B5" s="36" t="s">
        <v>103</v>
      </c>
      <c r="C5" s="37" t="s">
        <v>104</v>
      </c>
      <c r="D5" s="38" t="s">
        <v>111</v>
      </c>
      <c r="E5" s="39" t="s">
        <v>106</v>
      </c>
      <c r="F5" s="40" t="s">
        <v>25</v>
      </c>
      <c r="G5" s="41"/>
      <c r="H5" s="36" t="s">
        <v>107</v>
      </c>
      <c r="I5" s="36" t="s">
        <v>108</v>
      </c>
      <c r="J5" s="42"/>
      <c r="K5" s="42"/>
      <c r="L5" s="42"/>
      <c r="M5" s="43"/>
      <c r="N5" s="41"/>
      <c r="O5" s="30" t="n">
        <v>599</v>
      </c>
      <c r="P5" s="44"/>
      <c r="Q5" s="44"/>
      <c r="R5" s="44"/>
      <c r="S5" s="44"/>
      <c r="T5" s="32" t="n">
        <v>0.05</v>
      </c>
      <c r="U5" s="45" t="n">
        <f aca="false">P5*T5</f>
        <v>0</v>
      </c>
      <c r="V5" s="45"/>
      <c r="W5" s="46" t="n">
        <f aca="false">P5+Q5+R5+S5</f>
        <v>0</v>
      </c>
      <c r="X5" s="46" t="n">
        <f aca="false">SUM(P5:S5)-U5</f>
        <v>0</v>
      </c>
      <c r="Y5" s="42"/>
    </row>
    <row r="6" customFormat="false" ht="22.5" hidden="false" customHeight="true" outlineLevel="0" collapsed="false">
      <c r="A6" s="21" t="n">
        <v>46115</v>
      </c>
      <c r="B6" s="22" t="s">
        <v>103</v>
      </c>
      <c r="C6" s="23" t="s">
        <v>104</v>
      </c>
      <c r="D6" s="24" t="s">
        <v>111</v>
      </c>
      <c r="E6" s="25" t="s">
        <v>109</v>
      </c>
      <c r="F6" s="26" t="s">
        <v>25</v>
      </c>
      <c r="G6" s="27"/>
      <c r="H6" s="22" t="s">
        <v>107</v>
      </c>
      <c r="I6" s="22" t="s">
        <v>108</v>
      </c>
      <c r="J6" s="28"/>
      <c r="K6" s="28"/>
      <c r="L6" s="28"/>
      <c r="M6" s="29"/>
      <c r="N6" s="27"/>
      <c r="O6" s="30" t="n">
        <v>599</v>
      </c>
      <c r="P6" s="31"/>
      <c r="Q6" s="31"/>
      <c r="R6" s="31"/>
      <c r="S6" s="31"/>
      <c r="T6" s="32" t="n">
        <v>0.05</v>
      </c>
      <c r="U6" s="33" t="n">
        <f aca="false">P6*T6</f>
        <v>0</v>
      </c>
      <c r="V6" s="33"/>
      <c r="W6" s="34" t="n">
        <f aca="false">P6+Q6+R6+S6</f>
        <v>0</v>
      </c>
      <c r="X6" s="34" t="n">
        <f aca="false">SUM(P6:S6)-U6</f>
        <v>0</v>
      </c>
      <c r="Y6" s="28"/>
    </row>
    <row r="7" customFormat="false" ht="22.5" hidden="false" customHeight="true" outlineLevel="0" collapsed="false">
      <c r="A7" s="35" t="n">
        <v>46115</v>
      </c>
      <c r="B7" s="36" t="s">
        <v>103</v>
      </c>
      <c r="C7" s="37" t="s">
        <v>104</v>
      </c>
      <c r="D7" s="38" t="s">
        <v>111</v>
      </c>
      <c r="E7" s="39" t="s">
        <v>110</v>
      </c>
      <c r="F7" s="40" t="s">
        <v>25</v>
      </c>
      <c r="G7" s="41"/>
      <c r="H7" s="36" t="s">
        <v>107</v>
      </c>
      <c r="I7" s="36" t="s">
        <v>108</v>
      </c>
      <c r="J7" s="42"/>
      <c r="K7" s="42"/>
      <c r="L7" s="42"/>
      <c r="M7" s="43"/>
      <c r="N7" s="41"/>
      <c r="O7" s="30" t="n">
        <v>599</v>
      </c>
      <c r="P7" s="44"/>
      <c r="Q7" s="44"/>
      <c r="R7" s="44"/>
      <c r="S7" s="44"/>
      <c r="T7" s="32" t="n">
        <v>0.05</v>
      </c>
      <c r="U7" s="45" t="n">
        <f aca="false">P7*T7</f>
        <v>0</v>
      </c>
      <c r="V7" s="45"/>
      <c r="W7" s="46" t="n">
        <f aca="false">P7+Q7+R7+S7</f>
        <v>0</v>
      </c>
      <c r="X7" s="46" t="n">
        <f aca="false">SUM(P7:S7)-U7</f>
        <v>0</v>
      </c>
      <c r="Y7" s="42"/>
    </row>
    <row r="8" customFormat="false" ht="22.5" hidden="false" customHeight="true" outlineLevel="0" collapsed="false">
      <c r="A8" s="21" t="n">
        <v>46178</v>
      </c>
      <c r="B8" s="22" t="s">
        <v>103</v>
      </c>
      <c r="C8" s="23" t="s">
        <v>112</v>
      </c>
      <c r="D8" s="23" t="s">
        <v>113</v>
      </c>
      <c r="E8" s="25" t="s">
        <v>106</v>
      </c>
      <c r="F8" s="26" t="s">
        <v>25</v>
      </c>
      <c r="G8" s="47"/>
      <c r="H8" s="26" t="s">
        <v>114</v>
      </c>
      <c r="I8" s="22" t="s">
        <v>108</v>
      </c>
      <c r="J8" s="48" t="s">
        <v>115</v>
      </c>
      <c r="K8" s="28" t="s">
        <v>116</v>
      </c>
      <c r="L8" s="28" t="s">
        <v>117</v>
      </c>
      <c r="M8" s="49" t="n">
        <v>46218</v>
      </c>
      <c r="N8" s="49" t="n">
        <v>46582</v>
      </c>
      <c r="O8" s="30" t="n">
        <v>599</v>
      </c>
      <c r="P8" s="30" t="n">
        <v>1950</v>
      </c>
      <c r="Q8" s="50"/>
      <c r="R8" s="50"/>
      <c r="S8" s="50"/>
      <c r="T8" s="32" t="n">
        <v>0.05</v>
      </c>
      <c r="U8" s="33" t="n">
        <f aca="false">P8*T8</f>
        <v>97.5</v>
      </c>
      <c r="V8" s="33" t="n">
        <f aca="false">SUM(U8,(U8*0.05))</f>
        <v>102.375</v>
      </c>
      <c r="W8" s="34" t="n">
        <f aca="false">P8+Q8+R8+S8</f>
        <v>1950</v>
      </c>
      <c r="X8" s="34" t="n">
        <f aca="false">SUM(P8:S8)-V8</f>
        <v>1847.625</v>
      </c>
      <c r="Y8" s="28"/>
    </row>
    <row r="9" customFormat="false" ht="22.5" hidden="false" customHeight="true" outlineLevel="0" collapsed="false">
      <c r="A9" s="35" t="n">
        <v>46178</v>
      </c>
      <c r="B9" s="36" t="s">
        <v>103</v>
      </c>
      <c r="C9" s="37" t="s">
        <v>112</v>
      </c>
      <c r="D9" s="38" t="s">
        <v>113</v>
      </c>
      <c r="E9" s="39" t="s">
        <v>109</v>
      </c>
      <c r="F9" s="40" t="s">
        <v>25</v>
      </c>
      <c r="G9" s="41"/>
      <c r="H9" s="36" t="s">
        <v>107</v>
      </c>
      <c r="I9" s="36" t="s">
        <v>108</v>
      </c>
      <c r="J9" s="42"/>
      <c r="K9" s="42"/>
      <c r="L9" s="42"/>
      <c r="M9" s="43"/>
      <c r="N9" s="41"/>
      <c r="O9" s="30" t="n">
        <v>599</v>
      </c>
      <c r="P9" s="44"/>
      <c r="Q9" s="44"/>
      <c r="R9" s="44"/>
      <c r="S9" s="44"/>
      <c r="T9" s="32" t="n">
        <v>0.05</v>
      </c>
      <c r="U9" s="45" t="n">
        <f aca="false">P9*T9</f>
        <v>0</v>
      </c>
      <c r="V9" s="45"/>
      <c r="W9" s="46" t="n">
        <f aca="false">P9+Q9+R9+S9</f>
        <v>0</v>
      </c>
      <c r="X9" s="46" t="n">
        <f aca="false">SUM(P9:S9)-U9</f>
        <v>0</v>
      </c>
      <c r="Y9" s="42"/>
    </row>
    <row r="10" customFormat="false" ht="22.5" hidden="false" customHeight="true" outlineLevel="0" collapsed="false">
      <c r="A10" s="21" t="n">
        <v>46178</v>
      </c>
      <c r="B10" s="22" t="s">
        <v>103</v>
      </c>
      <c r="C10" s="23" t="s">
        <v>112</v>
      </c>
      <c r="D10" s="24" t="s">
        <v>113</v>
      </c>
      <c r="E10" s="25" t="s">
        <v>118</v>
      </c>
      <c r="F10" s="26" t="s">
        <v>25</v>
      </c>
      <c r="G10" s="27"/>
      <c r="H10" s="22" t="s">
        <v>107</v>
      </c>
      <c r="I10" s="22" t="s">
        <v>108</v>
      </c>
      <c r="J10" s="28"/>
      <c r="K10" s="28"/>
      <c r="L10" s="28"/>
      <c r="M10" s="29"/>
      <c r="N10" s="27"/>
      <c r="O10" s="30" t="n">
        <v>599</v>
      </c>
      <c r="P10" s="31"/>
      <c r="Q10" s="31"/>
      <c r="R10" s="31"/>
      <c r="S10" s="31"/>
      <c r="T10" s="32" t="n">
        <v>0.05</v>
      </c>
      <c r="U10" s="33" t="n">
        <f aca="false">P10*T10</f>
        <v>0</v>
      </c>
      <c r="V10" s="33"/>
      <c r="W10" s="34" t="n">
        <f aca="false">P10+Q10+R10+S10</f>
        <v>0</v>
      </c>
      <c r="X10" s="34" t="n">
        <f aca="false">SUM(P10:S10)-U10</f>
        <v>0</v>
      </c>
      <c r="Y10" s="28"/>
    </row>
    <row r="11" customFormat="false" ht="22.5" hidden="false" customHeight="true" outlineLevel="0" collapsed="false">
      <c r="A11" s="35" t="n">
        <v>46023</v>
      </c>
      <c r="B11" s="36" t="s">
        <v>103</v>
      </c>
      <c r="C11" s="37" t="s">
        <v>119</v>
      </c>
      <c r="D11" s="37" t="s">
        <v>120</v>
      </c>
      <c r="E11" s="39" t="s">
        <v>121</v>
      </c>
      <c r="F11" s="51" t="s">
        <v>26</v>
      </c>
      <c r="G11" s="52"/>
      <c r="H11" s="40" t="s">
        <v>114</v>
      </c>
      <c r="I11" s="36" t="s">
        <v>108</v>
      </c>
      <c r="J11" s="53" t="s">
        <v>122</v>
      </c>
      <c r="K11" s="42" t="s">
        <v>123</v>
      </c>
      <c r="L11" s="42" t="s">
        <v>124</v>
      </c>
      <c r="M11" s="54" t="n">
        <v>46054</v>
      </c>
      <c r="N11" s="54" t="n">
        <v>46507</v>
      </c>
      <c r="O11" s="55" t="n">
        <v>799</v>
      </c>
      <c r="P11" s="55" t="n">
        <v>2475</v>
      </c>
      <c r="Q11" s="55" t="n">
        <v>50</v>
      </c>
      <c r="R11" s="56"/>
      <c r="S11" s="56"/>
      <c r="T11" s="57" t="n">
        <v>0.05</v>
      </c>
      <c r="U11" s="45" t="n">
        <f aca="false">P11*T11</f>
        <v>123.75</v>
      </c>
      <c r="V11" s="33" t="n">
        <f aca="false">SUM(U11,(U11*0.05))</f>
        <v>129.9375</v>
      </c>
      <c r="W11" s="46" t="n">
        <f aca="false">P11+Q11+R11+S11</f>
        <v>2525</v>
      </c>
      <c r="X11" s="34" t="n">
        <f aca="false">SUM(P11:S11)-V11</f>
        <v>2395.0625</v>
      </c>
      <c r="Y11" s="42"/>
    </row>
    <row r="12" customFormat="false" ht="22.5" hidden="false" customHeight="true" outlineLevel="0" collapsed="false">
      <c r="A12" s="21" t="n">
        <v>46023</v>
      </c>
      <c r="B12" s="22" t="s">
        <v>103</v>
      </c>
      <c r="C12" s="23" t="s">
        <v>119</v>
      </c>
      <c r="D12" s="23" t="s">
        <v>120</v>
      </c>
      <c r="E12" s="25" t="s">
        <v>125</v>
      </c>
      <c r="F12" s="58" t="s">
        <v>26</v>
      </c>
      <c r="G12" s="47"/>
      <c r="H12" s="26" t="s">
        <v>114</v>
      </c>
      <c r="I12" s="22" t="s">
        <v>108</v>
      </c>
      <c r="J12" s="53" t="s">
        <v>126</v>
      </c>
      <c r="K12" s="28" t="s">
        <v>127</v>
      </c>
      <c r="L12" s="28" t="s">
        <v>128</v>
      </c>
      <c r="M12" s="59" t="n">
        <v>46011</v>
      </c>
      <c r="N12" s="59" t="n">
        <v>46477</v>
      </c>
      <c r="O12" s="30" t="n">
        <v>799</v>
      </c>
      <c r="P12" s="30" t="n">
        <v>1300</v>
      </c>
      <c r="Q12" s="30" t="n">
        <v>50</v>
      </c>
      <c r="R12" s="50"/>
      <c r="S12" s="50"/>
      <c r="T12" s="32" t="n">
        <v>0.05</v>
      </c>
      <c r="U12" s="33" t="n">
        <f aca="false">P12*T12</f>
        <v>65</v>
      </c>
      <c r="V12" s="33" t="n">
        <f aca="false">SUM(U12,(U12*0.05))</f>
        <v>68.25</v>
      </c>
      <c r="W12" s="34" t="n">
        <f aca="false">P12+Q12+R12+S12</f>
        <v>1350</v>
      </c>
      <c r="X12" s="34" t="n">
        <f aca="false">SUM(P12:S12)-V12</f>
        <v>1281.75</v>
      </c>
      <c r="Y12" s="28"/>
    </row>
    <row r="13" customFormat="false" ht="22.5" hidden="false" customHeight="true" outlineLevel="0" collapsed="false">
      <c r="A13" s="35" t="n">
        <v>46023</v>
      </c>
      <c r="B13" s="36" t="s">
        <v>103</v>
      </c>
      <c r="C13" s="37" t="s">
        <v>119</v>
      </c>
      <c r="D13" s="37" t="s">
        <v>120</v>
      </c>
      <c r="E13" s="39" t="s">
        <v>129</v>
      </c>
      <c r="F13" s="51" t="s">
        <v>26</v>
      </c>
      <c r="G13" s="52"/>
      <c r="H13" s="40" t="s">
        <v>114</v>
      </c>
      <c r="I13" s="36" t="s">
        <v>108</v>
      </c>
      <c r="J13" s="60" t="s">
        <v>130</v>
      </c>
      <c r="K13" s="60" t="s">
        <v>131</v>
      </c>
      <c r="L13" s="42" t="s">
        <v>132</v>
      </c>
      <c r="M13" s="61" t="n">
        <v>46143</v>
      </c>
      <c r="N13" s="54" t="n">
        <v>46507</v>
      </c>
      <c r="O13" s="55" t="n">
        <v>799</v>
      </c>
      <c r="P13" s="55" t="n">
        <v>2200</v>
      </c>
      <c r="Q13" s="55" t="n">
        <v>75</v>
      </c>
      <c r="R13" s="55" t="n">
        <v>100</v>
      </c>
      <c r="S13" s="56"/>
      <c r="T13" s="57" t="n">
        <v>0.05</v>
      </c>
      <c r="U13" s="45" t="n">
        <f aca="false">P13*T13</f>
        <v>110</v>
      </c>
      <c r="V13" s="33" t="n">
        <f aca="false">SUM(U13,(U13*0.05))</f>
        <v>115.5</v>
      </c>
      <c r="W13" s="46" t="n">
        <f aca="false">P13+Q13+R13+S13</f>
        <v>2375</v>
      </c>
      <c r="X13" s="34" t="n">
        <f aca="false">SUM(P13:S13)-V13</f>
        <v>2259.5</v>
      </c>
      <c r="Y13" s="42"/>
    </row>
    <row r="14" customFormat="false" ht="22.5" hidden="false" customHeight="true" outlineLevel="0" collapsed="false">
      <c r="A14" s="21" t="n">
        <v>46023</v>
      </c>
      <c r="B14" s="22" t="s">
        <v>103</v>
      </c>
      <c r="C14" s="23" t="s">
        <v>119</v>
      </c>
      <c r="D14" s="23" t="s">
        <v>120</v>
      </c>
      <c r="E14" s="25" t="s">
        <v>133</v>
      </c>
      <c r="F14" s="58" t="s">
        <v>26</v>
      </c>
      <c r="G14" s="47"/>
      <c r="H14" s="26" t="s">
        <v>114</v>
      </c>
      <c r="I14" s="22" t="s">
        <v>108</v>
      </c>
      <c r="J14" s="53" t="s">
        <v>134</v>
      </c>
      <c r="K14" s="28" t="s">
        <v>135</v>
      </c>
      <c r="L14" s="28" t="s">
        <v>136</v>
      </c>
      <c r="M14" s="54" t="n">
        <v>46012</v>
      </c>
      <c r="N14" s="54" t="n">
        <v>46477</v>
      </c>
      <c r="O14" s="30" t="n">
        <v>799</v>
      </c>
      <c r="P14" s="30" t="n">
        <v>1300</v>
      </c>
      <c r="Q14" s="50"/>
      <c r="R14" s="50"/>
      <c r="S14" s="50"/>
      <c r="T14" s="32" t="n">
        <v>0.05</v>
      </c>
      <c r="U14" s="33" t="n">
        <f aca="false">P14*T14</f>
        <v>65</v>
      </c>
      <c r="V14" s="33" t="n">
        <f aca="false">SUM(U14,(U14*0.05))</f>
        <v>68.25</v>
      </c>
      <c r="W14" s="34" t="n">
        <f aca="false">P14+Q14+R14+S14</f>
        <v>1300</v>
      </c>
      <c r="X14" s="34" t="n">
        <f aca="false">SUM(P14:S14)-V14</f>
        <v>1231.75</v>
      </c>
      <c r="Y14" s="28"/>
    </row>
    <row r="15" customFormat="false" ht="22.5" hidden="false" customHeight="true" outlineLevel="0" collapsed="false">
      <c r="A15" s="35" t="n">
        <v>46023</v>
      </c>
      <c r="B15" s="36" t="s">
        <v>103</v>
      </c>
      <c r="C15" s="37" t="s">
        <v>119</v>
      </c>
      <c r="D15" s="37" t="s">
        <v>120</v>
      </c>
      <c r="E15" s="39" t="s">
        <v>137</v>
      </c>
      <c r="F15" s="51" t="s">
        <v>26</v>
      </c>
      <c r="G15" s="52"/>
      <c r="H15" s="40" t="s">
        <v>114</v>
      </c>
      <c r="I15" s="36" t="s">
        <v>108</v>
      </c>
      <c r="J15" s="53" t="s">
        <v>138</v>
      </c>
      <c r="K15" s="42" t="s">
        <v>139</v>
      </c>
      <c r="L15" s="42" t="s">
        <v>140</v>
      </c>
      <c r="M15" s="59" t="n">
        <v>46082</v>
      </c>
      <c r="N15" s="62" t="n">
        <v>46538</v>
      </c>
      <c r="O15" s="55" t="n">
        <v>799</v>
      </c>
      <c r="P15" s="55" t="n">
        <v>2300</v>
      </c>
      <c r="Q15" s="55" t="n">
        <v>25</v>
      </c>
      <c r="R15" s="55" t="n">
        <v>100</v>
      </c>
      <c r="S15" s="56"/>
      <c r="T15" s="57" t="n">
        <v>0.05</v>
      </c>
      <c r="U15" s="45" t="n">
        <f aca="false">P15*T15</f>
        <v>115</v>
      </c>
      <c r="V15" s="33" t="n">
        <f aca="false">SUM(U15,(U15*0.05))</f>
        <v>120.75</v>
      </c>
      <c r="W15" s="46" t="n">
        <f aca="false">P15+Q15+R15+S15</f>
        <v>2425</v>
      </c>
      <c r="X15" s="34" t="n">
        <f aca="false">SUM(P15:S15)-V15</f>
        <v>2304.25</v>
      </c>
      <c r="Y15" s="42"/>
    </row>
    <row r="16" customFormat="false" ht="22.5" hidden="false" customHeight="true" outlineLevel="0" collapsed="false">
      <c r="A16" s="21" t="n">
        <v>46023</v>
      </c>
      <c r="B16" s="22" t="s">
        <v>103</v>
      </c>
      <c r="C16" s="23" t="s">
        <v>119</v>
      </c>
      <c r="D16" s="23" t="s">
        <v>120</v>
      </c>
      <c r="E16" s="25" t="s">
        <v>141</v>
      </c>
      <c r="F16" s="58" t="s">
        <v>26</v>
      </c>
      <c r="G16" s="47"/>
      <c r="H16" s="26" t="s">
        <v>114</v>
      </c>
      <c r="I16" s="22" t="s">
        <v>108</v>
      </c>
      <c r="J16" s="53" t="s">
        <v>142</v>
      </c>
      <c r="K16" s="28" t="s">
        <v>143</v>
      </c>
      <c r="L16" s="28" t="s">
        <v>144</v>
      </c>
      <c r="M16" s="54" t="n">
        <v>45992</v>
      </c>
      <c r="N16" s="54" t="n">
        <v>46446</v>
      </c>
      <c r="O16" s="30" t="n">
        <v>799</v>
      </c>
      <c r="P16" s="30" t="n">
        <v>1350</v>
      </c>
      <c r="Q16" s="50"/>
      <c r="R16" s="50"/>
      <c r="S16" s="50"/>
      <c r="T16" s="32" t="n">
        <v>0.05</v>
      </c>
      <c r="U16" s="33" t="n">
        <f aca="false">P16*T16</f>
        <v>67.5</v>
      </c>
      <c r="V16" s="33" t="n">
        <f aca="false">SUM(U16,(U16*0.05))</f>
        <v>70.875</v>
      </c>
      <c r="W16" s="34" t="n">
        <f aca="false">P16+Q16+R16+S16</f>
        <v>1350</v>
      </c>
      <c r="X16" s="34" t="n">
        <f aca="false">SUM(P16:S16)-V16</f>
        <v>1279.125</v>
      </c>
      <c r="Y16" s="28"/>
    </row>
    <row r="17" customFormat="false" ht="22.5" hidden="false" customHeight="true" outlineLevel="0" collapsed="false">
      <c r="A17" s="35" t="n">
        <v>46023</v>
      </c>
      <c r="B17" s="36" t="s">
        <v>103</v>
      </c>
      <c r="C17" s="37" t="s">
        <v>119</v>
      </c>
      <c r="D17" s="37" t="s">
        <v>120</v>
      </c>
      <c r="E17" s="39" t="s">
        <v>145</v>
      </c>
      <c r="F17" s="51" t="s">
        <v>26</v>
      </c>
      <c r="G17" s="52"/>
      <c r="H17" s="40" t="s">
        <v>114</v>
      </c>
      <c r="I17" s="36" t="s">
        <v>108</v>
      </c>
      <c r="J17" s="63" t="s">
        <v>146</v>
      </c>
      <c r="K17" s="60" t="s">
        <v>147</v>
      </c>
      <c r="L17" s="60" t="s">
        <v>148</v>
      </c>
      <c r="M17" s="61" t="n">
        <v>46143</v>
      </c>
      <c r="N17" s="54" t="n">
        <v>46507</v>
      </c>
      <c r="O17" s="55" t="n">
        <v>799</v>
      </c>
      <c r="P17" s="55" t="n">
        <v>2200</v>
      </c>
      <c r="Q17" s="56"/>
      <c r="R17" s="55" t="n">
        <v>100</v>
      </c>
      <c r="S17" s="56"/>
      <c r="T17" s="57" t="n">
        <v>0.05</v>
      </c>
      <c r="U17" s="45" t="n">
        <f aca="false">P17*T17</f>
        <v>110</v>
      </c>
      <c r="V17" s="33" t="n">
        <f aca="false">SUM(U17,(U17*0.05))</f>
        <v>115.5</v>
      </c>
      <c r="W17" s="46" t="n">
        <f aca="false">P17+Q17+R17+S17</f>
        <v>2300</v>
      </c>
      <c r="X17" s="34" t="n">
        <f aca="false">SUM(P17:S17)-V17</f>
        <v>2184.5</v>
      </c>
      <c r="Y17" s="42"/>
    </row>
    <row r="18" customFormat="false" ht="22.5" hidden="false" customHeight="true" outlineLevel="0" collapsed="false">
      <c r="A18" s="21" t="n">
        <v>46023</v>
      </c>
      <c r="B18" s="22" t="s">
        <v>103</v>
      </c>
      <c r="C18" s="23" t="s">
        <v>119</v>
      </c>
      <c r="D18" s="23" t="s">
        <v>120</v>
      </c>
      <c r="E18" s="25" t="s">
        <v>149</v>
      </c>
      <c r="F18" s="58" t="s">
        <v>26</v>
      </c>
      <c r="G18" s="47"/>
      <c r="H18" s="26" t="s">
        <v>114</v>
      </c>
      <c r="I18" s="22" t="s">
        <v>108</v>
      </c>
      <c r="J18" s="28" t="s">
        <v>150</v>
      </c>
      <c r="K18" s="28" t="s">
        <v>151</v>
      </c>
      <c r="L18" s="28" t="s">
        <v>152</v>
      </c>
      <c r="M18" s="64" t="n">
        <v>46143</v>
      </c>
      <c r="N18" s="65" t="n">
        <v>46507</v>
      </c>
      <c r="O18" s="30" t="n">
        <v>799</v>
      </c>
      <c r="P18" s="30" t="n">
        <v>1100</v>
      </c>
      <c r="Q18" s="50"/>
      <c r="R18" s="50"/>
      <c r="S18" s="30" t="n">
        <v>50</v>
      </c>
      <c r="T18" s="32" t="n">
        <v>0.05</v>
      </c>
      <c r="U18" s="33" t="n">
        <f aca="false">P18*T18</f>
        <v>55</v>
      </c>
      <c r="V18" s="33" t="n">
        <f aca="false">SUM(U18,(U18*0.05))</f>
        <v>57.75</v>
      </c>
      <c r="W18" s="34" t="n">
        <f aca="false">P18+Q18+R18+S18</f>
        <v>1150</v>
      </c>
      <c r="X18" s="34" t="n">
        <f aca="false">SUM(P18:S18)-V18</f>
        <v>1092.25</v>
      </c>
      <c r="Y18" s="28"/>
    </row>
    <row r="19" customFormat="false" ht="22.5" hidden="false" customHeight="true" outlineLevel="0" collapsed="false">
      <c r="A19" s="35" t="n">
        <v>46045</v>
      </c>
      <c r="B19" s="36" t="s">
        <v>103</v>
      </c>
      <c r="C19" s="37" t="s">
        <v>153</v>
      </c>
      <c r="D19" s="37" t="s">
        <v>154</v>
      </c>
      <c r="E19" s="39" t="s">
        <v>155</v>
      </c>
      <c r="F19" s="40" t="s">
        <v>25</v>
      </c>
      <c r="G19" s="52"/>
      <c r="H19" s="40" t="s">
        <v>114</v>
      </c>
      <c r="I19" s="36" t="s">
        <v>108</v>
      </c>
      <c r="J19" s="60" t="s">
        <v>156</v>
      </c>
      <c r="K19" s="60" t="s">
        <v>157</v>
      </c>
      <c r="L19" s="60" t="s">
        <v>158</v>
      </c>
      <c r="M19" s="66" t="n">
        <v>46143</v>
      </c>
      <c r="N19" s="66" t="n">
        <v>46507</v>
      </c>
      <c r="O19" s="55" t="n">
        <v>250</v>
      </c>
      <c r="P19" s="55" t="n">
        <v>1950</v>
      </c>
      <c r="Q19" s="55" t="n">
        <v>75</v>
      </c>
      <c r="R19" s="56"/>
      <c r="S19" s="56"/>
      <c r="T19" s="57" t="n">
        <v>0.05</v>
      </c>
      <c r="U19" s="45" t="n">
        <f aca="false">P19*T19</f>
        <v>97.5</v>
      </c>
      <c r="V19" s="33" t="n">
        <f aca="false">SUM(U19,(U19*0.05))</f>
        <v>102.375</v>
      </c>
      <c r="W19" s="46" t="n">
        <f aca="false">P19+Q19+R19+S19</f>
        <v>2025</v>
      </c>
      <c r="X19" s="34" t="n">
        <f aca="false">SUM(P19:S19)-V19</f>
        <v>1922.625</v>
      </c>
      <c r="Y19" s="42"/>
    </row>
    <row r="20" customFormat="false" ht="22.5" hidden="false" customHeight="true" outlineLevel="0" collapsed="false">
      <c r="A20" s="21" t="n">
        <v>46045</v>
      </c>
      <c r="B20" s="22" t="s">
        <v>103</v>
      </c>
      <c r="C20" s="23" t="s">
        <v>153</v>
      </c>
      <c r="D20" s="23" t="s">
        <v>154</v>
      </c>
      <c r="E20" s="25" t="s">
        <v>109</v>
      </c>
      <c r="F20" s="26" t="s">
        <v>25</v>
      </c>
      <c r="G20" s="27"/>
      <c r="H20" s="22" t="s">
        <v>107</v>
      </c>
      <c r="I20" s="22" t="s">
        <v>108</v>
      </c>
      <c r="J20" s="28"/>
      <c r="K20" s="28"/>
      <c r="L20" s="28"/>
      <c r="M20" s="29"/>
      <c r="N20" s="27"/>
      <c r="O20" s="55" t="n">
        <v>250</v>
      </c>
      <c r="P20" s="31"/>
      <c r="Q20" s="31"/>
      <c r="R20" s="31"/>
      <c r="S20" s="31"/>
      <c r="T20" s="32" t="n">
        <v>0.05</v>
      </c>
      <c r="U20" s="33" t="n">
        <f aca="false">P20*T20</f>
        <v>0</v>
      </c>
      <c r="V20" s="33"/>
      <c r="W20" s="34" t="n">
        <f aca="false">P20+Q20+R20+S20</f>
        <v>0</v>
      </c>
      <c r="X20" s="34" t="n">
        <f aca="false">SUM(P20:S20)-U20</f>
        <v>0</v>
      </c>
      <c r="Y20" s="28"/>
    </row>
    <row r="21" customFormat="false" ht="22.5" hidden="false" customHeight="true" outlineLevel="0" collapsed="false">
      <c r="A21" s="35" t="n">
        <v>46045</v>
      </c>
      <c r="B21" s="36" t="s">
        <v>103</v>
      </c>
      <c r="C21" s="37" t="s">
        <v>153</v>
      </c>
      <c r="D21" s="37" t="s">
        <v>159</v>
      </c>
      <c r="E21" s="39" t="s">
        <v>155</v>
      </c>
      <c r="F21" s="40" t="s">
        <v>25</v>
      </c>
      <c r="G21" s="52"/>
      <c r="H21" s="40" t="s">
        <v>114</v>
      </c>
      <c r="I21" s="36" t="s">
        <v>108</v>
      </c>
      <c r="J21" s="42" t="s">
        <v>160</v>
      </c>
      <c r="K21" s="42" t="s">
        <v>161</v>
      </c>
      <c r="L21" s="42" t="s">
        <v>162</v>
      </c>
      <c r="M21" s="49" t="n">
        <v>46204</v>
      </c>
      <c r="N21" s="49" t="n">
        <v>46568</v>
      </c>
      <c r="O21" s="55" t="n">
        <v>250</v>
      </c>
      <c r="P21" s="55" t="n">
        <v>1950</v>
      </c>
      <c r="Q21" s="55" t="n">
        <v>50</v>
      </c>
      <c r="R21" s="56"/>
      <c r="S21" s="56"/>
      <c r="T21" s="57" t="n">
        <v>0.05</v>
      </c>
      <c r="U21" s="45" t="n">
        <f aca="false">P21*T21</f>
        <v>97.5</v>
      </c>
      <c r="V21" s="33" t="n">
        <f aca="false">SUM(U21,(U21*0.05))</f>
        <v>102.375</v>
      </c>
      <c r="W21" s="46" t="n">
        <f aca="false">P21+Q21+R21+S21</f>
        <v>2000</v>
      </c>
      <c r="X21" s="34" t="n">
        <f aca="false">SUM(P21:S21)-V21</f>
        <v>1897.625</v>
      </c>
      <c r="Y21" s="42"/>
    </row>
    <row r="22" customFormat="false" ht="22.5" hidden="false" customHeight="true" outlineLevel="0" collapsed="false">
      <c r="A22" s="21" t="n">
        <v>46045</v>
      </c>
      <c r="B22" s="22" t="s">
        <v>103</v>
      </c>
      <c r="C22" s="23" t="s">
        <v>153</v>
      </c>
      <c r="D22" s="23" t="s">
        <v>159</v>
      </c>
      <c r="E22" s="25" t="s">
        <v>109</v>
      </c>
      <c r="F22" s="26" t="s">
        <v>25</v>
      </c>
      <c r="G22" s="47"/>
      <c r="H22" s="26" t="s">
        <v>114</v>
      </c>
      <c r="I22" s="22" t="s">
        <v>108</v>
      </c>
      <c r="J22" s="28" t="s">
        <v>163</v>
      </c>
      <c r="K22" s="28" t="s">
        <v>164</v>
      </c>
      <c r="L22" s="28" t="s">
        <v>165</v>
      </c>
      <c r="M22" s="49" t="n">
        <v>46174</v>
      </c>
      <c r="N22" s="49" t="n">
        <v>46538</v>
      </c>
      <c r="O22" s="30" t="n">
        <v>250</v>
      </c>
      <c r="P22" s="30" t="n">
        <v>950</v>
      </c>
      <c r="Q22" s="30" t="n">
        <v>25</v>
      </c>
      <c r="R22" s="50"/>
      <c r="S22" s="50"/>
      <c r="T22" s="32" t="n">
        <v>0.05</v>
      </c>
      <c r="U22" s="33" t="n">
        <f aca="false">P22*T22</f>
        <v>47.5</v>
      </c>
      <c r="V22" s="33" t="n">
        <f aca="false">SUM(U22,(U22*0.05))</f>
        <v>49.875</v>
      </c>
      <c r="W22" s="34" t="n">
        <f aca="false">P22+Q22+R22+S22</f>
        <v>975</v>
      </c>
      <c r="X22" s="34" t="n">
        <f aca="false">SUM(P22:S22)-V22</f>
        <v>925.125</v>
      </c>
      <c r="Y22" s="28"/>
    </row>
    <row r="23" customFormat="false" ht="22.5" hidden="false" customHeight="true" outlineLevel="0" collapsed="false">
      <c r="A23" s="35" t="n">
        <v>46045</v>
      </c>
      <c r="B23" s="36" t="s">
        <v>103</v>
      </c>
      <c r="C23" s="37" t="s">
        <v>153</v>
      </c>
      <c r="D23" s="37" t="s">
        <v>166</v>
      </c>
      <c r="E23" s="39" t="s">
        <v>155</v>
      </c>
      <c r="F23" s="40" t="s">
        <v>25</v>
      </c>
      <c r="G23" s="52"/>
      <c r="H23" s="40" t="s">
        <v>114</v>
      </c>
      <c r="I23" s="36" t="s">
        <v>108</v>
      </c>
      <c r="J23" s="60" t="s">
        <v>167</v>
      </c>
      <c r="K23" s="60" t="s">
        <v>168</v>
      </c>
      <c r="L23" s="42" t="s">
        <v>169</v>
      </c>
      <c r="M23" s="67" t="n">
        <v>46143</v>
      </c>
      <c r="N23" s="67" t="n">
        <v>46507</v>
      </c>
      <c r="O23" s="55" t="n">
        <v>250</v>
      </c>
      <c r="P23" s="55" t="n">
        <v>1950</v>
      </c>
      <c r="Q23" s="55" t="n">
        <v>25</v>
      </c>
      <c r="R23" s="56"/>
      <c r="S23" s="56"/>
      <c r="T23" s="57" t="n">
        <v>0.05</v>
      </c>
      <c r="U23" s="45" t="n">
        <f aca="false">P23*T23</f>
        <v>97.5</v>
      </c>
      <c r="V23" s="33" t="n">
        <f aca="false">SUM(U23,(U23*0.05))</f>
        <v>102.375</v>
      </c>
      <c r="W23" s="46" t="n">
        <f aca="false">P23+Q23+R23+S23</f>
        <v>1975</v>
      </c>
      <c r="X23" s="34" t="n">
        <f aca="false">SUM(P23:S23)-V23</f>
        <v>1872.625</v>
      </c>
      <c r="Y23" s="42"/>
    </row>
    <row r="24" customFormat="false" ht="22.5" hidden="false" customHeight="true" outlineLevel="0" collapsed="false">
      <c r="A24" s="21" t="n">
        <v>46045</v>
      </c>
      <c r="B24" s="22" t="s">
        <v>103</v>
      </c>
      <c r="C24" s="23" t="s">
        <v>153</v>
      </c>
      <c r="D24" s="23" t="s">
        <v>166</v>
      </c>
      <c r="E24" s="25" t="s">
        <v>109</v>
      </c>
      <c r="F24" s="26" t="s">
        <v>25</v>
      </c>
      <c r="G24" s="47"/>
      <c r="H24" s="26" t="s">
        <v>114</v>
      </c>
      <c r="I24" s="22" t="s">
        <v>108</v>
      </c>
      <c r="J24" s="28" t="s">
        <v>170</v>
      </c>
      <c r="K24" s="28" t="s">
        <v>171</v>
      </c>
      <c r="L24" s="28" t="s">
        <v>172</v>
      </c>
      <c r="M24" s="67" t="n">
        <v>46204</v>
      </c>
      <c r="N24" s="67" t="n">
        <v>46568</v>
      </c>
      <c r="O24" s="68" t="n">
        <v>250</v>
      </c>
      <c r="P24" s="68" t="n">
        <v>950</v>
      </c>
      <c r="Q24" s="68" t="n">
        <v>25</v>
      </c>
      <c r="R24" s="50"/>
      <c r="S24" s="50"/>
      <c r="T24" s="69" t="n">
        <v>0.05</v>
      </c>
      <c r="U24" s="33" t="n">
        <f aca="false">P24*T24</f>
        <v>47.5</v>
      </c>
      <c r="V24" s="33" t="n">
        <f aca="false">SUM(U24,(U24*0.05))</f>
        <v>49.875</v>
      </c>
      <c r="W24" s="34" t="n">
        <f aca="false">P24+Q24+R24+S24</f>
        <v>975</v>
      </c>
      <c r="X24" s="34" t="n">
        <f aca="false">SUM(P24:S24)-V24</f>
        <v>925.125</v>
      </c>
      <c r="Y24" s="47"/>
      <c r="Z24" s="70"/>
      <c r="AA24" s="70"/>
    </row>
    <row r="25" customFormat="false" ht="22.5" hidden="false" customHeight="true" outlineLevel="0" collapsed="false">
      <c r="A25" s="35" t="n">
        <v>46045</v>
      </c>
      <c r="B25" s="36" t="s">
        <v>103</v>
      </c>
      <c r="C25" s="37" t="s">
        <v>153</v>
      </c>
      <c r="D25" s="37" t="s">
        <v>173</v>
      </c>
      <c r="E25" s="39" t="s">
        <v>155</v>
      </c>
      <c r="F25" s="40" t="s">
        <v>25</v>
      </c>
      <c r="G25" s="52"/>
      <c r="H25" s="40" t="s">
        <v>114</v>
      </c>
      <c r="I25" s="36" t="s">
        <v>108</v>
      </c>
      <c r="J25" s="60" t="s">
        <v>174</v>
      </c>
      <c r="K25" s="60" t="s">
        <v>175</v>
      </c>
      <c r="L25" s="60" t="s">
        <v>176</v>
      </c>
      <c r="M25" s="49" t="n">
        <v>46174</v>
      </c>
      <c r="N25" s="49" t="n">
        <v>46538</v>
      </c>
      <c r="O25" s="55" t="n">
        <v>250</v>
      </c>
      <c r="P25" s="55" t="n">
        <v>1950</v>
      </c>
      <c r="Q25" s="55" t="n">
        <v>50</v>
      </c>
      <c r="R25" s="56"/>
      <c r="S25" s="56"/>
      <c r="T25" s="57" t="n">
        <v>0.05</v>
      </c>
      <c r="U25" s="45" t="n">
        <f aca="false">P25*T25</f>
        <v>97.5</v>
      </c>
      <c r="V25" s="33" t="n">
        <f aca="false">SUM(U25,(U25*0.05))</f>
        <v>102.375</v>
      </c>
      <c r="W25" s="46" t="n">
        <f aca="false">P25+Q25+R25+S25</f>
        <v>2000</v>
      </c>
      <c r="X25" s="34" t="n">
        <f aca="false">SUM(P25:S25)-V25</f>
        <v>1897.625</v>
      </c>
      <c r="Y25" s="42"/>
    </row>
    <row r="26" customFormat="false" ht="22.5" hidden="false" customHeight="true" outlineLevel="0" collapsed="false">
      <c r="A26" s="21" t="n">
        <v>46045</v>
      </c>
      <c r="B26" s="22" t="s">
        <v>103</v>
      </c>
      <c r="C26" s="23" t="s">
        <v>153</v>
      </c>
      <c r="D26" s="23" t="s">
        <v>173</v>
      </c>
      <c r="E26" s="25" t="s">
        <v>109</v>
      </c>
      <c r="F26" s="26" t="s">
        <v>25</v>
      </c>
      <c r="G26" s="47"/>
      <c r="H26" s="26" t="s">
        <v>114</v>
      </c>
      <c r="I26" s="22" t="s">
        <v>108</v>
      </c>
      <c r="J26" s="28" t="s">
        <v>177</v>
      </c>
      <c r="K26" s="28" t="s">
        <v>178</v>
      </c>
      <c r="L26" s="28"/>
      <c r="M26" s="67" t="n">
        <v>46143</v>
      </c>
      <c r="N26" s="67" t="n">
        <v>46507</v>
      </c>
      <c r="O26" s="30" t="n">
        <v>250</v>
      </c>
      <c r="P26" s="30" t="n">
        <v>950</v>
      </c>
      <c r="Q26" s="50"/>
      <c r="R26" s="50"/>
      <c r="S26" s="50"/>
      <c r="T26" s="32" t="n">
        <v>0.05</v>
      </c>
      <c r="U26" s="33" t="n">
        <f aca="false">P26*T26</f>
        <v>47.5</v>
      </c>
      <c r="V26" s="33" t="n">
        <f aca="false">SUM(U26,(U26*0.05))</f>
        <v>49.875</v>
      </c>
      <c r="W26" s="34" t="n">
        <f aca="false">P26+Q26+R26+S26</f>
        <v>950</v>
      </c>
      <c r="X26" s="34" t="n">
        <f aca="false">SUM(P26:S26)-V26</f>
        <v>900.125</v>
      </c>
      <c r="Y26" s="28"/>
    </row>
    <row r="27" customFormat="false" ht="22.5" hidden="false" customHeight="true" outlineLevel="0" collapsed="false">
      <c r="A27" s="35" t="n">
        <v>46045</v>
      </c>
      <c r="B27" s="36" t="s">
        <v>103</v>
      </c>
      <c r="C27" s="37" t="s">
        <v>153</v>
      </c>
      <c r="D27" s="37" t="s">
        <v>179</v>
      </c>
      <c r="E27" s="39" t="s">
        <v>155</v>
      </c>
      <c r="F27" s="40" t="s">
        <v>25</v>
      </c>
      <c r="G27" s="52"/>
      <c r="H27" s="40" t="s">
        <v>114</v>
      </c>
      <c r="I27" s="36" t="s">
        <v>108</v>
      </c>
      <c r="J27" s="60" t="s">
        <v>180</v>
      </c>
      <c r="K27" s="60" t="s">
        <v>181</v>
      </c>
      <c r="L27" s="60" t="s">
        <v>182</v>
      </c>
      <c r="M27" s="49" t="n">
        <v>46143</v>
      </c>
      <c r="N27" s="49" t="n">
        <v>46507</v>
      </c>
      <c r="O27" s="55" t="n">
        <v>250</v>
      </c>
      <c r="P27" s="55" t="n">
        <v>1950</v>
      </c>
      <c r="Q27" s="55" t="n">
        <v>50</v>
      </c>
      <c r="R27" s="56"/>
      <c r="S27" s="56"/>
      <c r="T27" s="57" t="n">
        <v>0.05</v>
      </c>
      <c r="U27" s="45" t="n">
        <f aca="false">P27*T27</f>
        <v>97.5</v>
      </c>
      <c r="V27" s="33" t="n">
        <f aca="false">SUM(U27,(U27*0.05))</f>
        <v>102.375</v>
      </c>
      <c r="W27" s="46" t="n">
        <f aca="false">P27+Q27+R27+S27</f>
        <v>2000</v>
      </c>
      <c r="X27" s="34" t="n">
        <f aca="false">SUM(P27:S27)-V27</f>
        <v>1897.625</v>
      </c>
      <c r="Y27" s="42"/>
    </row>
    <row r="28" customFormat="false" ht="22.5" hidden="false" customHeight="true" outlineLevel="0" collapsed="false">
      <c r="A28" s="21" t="n">
        <v>46045</v>
      </c>
      <c r="B28" s="22" t="s">
        <v>103</v>
      </c>
      <c r="C28" s="23" t="s">
        <v>153</v>
      </c>
      <c r="D28" s="23" t="s">
        <v>179</v>
      </c>
      <c r="E28" s="25" t="s">
        <v>109</v>
      </c>
      <c r="F28" s="26" t="s">
        <v>25</v>
      </c>
      <c r="G28" s="27"/>
      <c r="H28" s="22" t="s">
        <v>107</v>
      </c>
      <c r="I28" s="22" t="s">
        <v>108</v>
      </c>
      <c r="J28" s="28"/>
      <c r="K28" s="28"/>
      <c r="L28" s="28"/>
      <c r="M28" s="29"/>
      <c r="N28" s="27"/>
      <c r="O28" s="55" t="n">
        <v>250</v>
      </c>
      <c r="P28" s="31"/>
      <c r="Q28" s="31"/>
      <c r="R28" s="31"/>
      <c r="S28" s="31"/>
      <c r="T28" s="57" t="n">
        <v>0.05</v>
      </c>
      <c r="U28" s="33" t="n">
        <f aca="false">P28*T28</f>
        <v>0</v>
      </c>
      <c r="V28" s="33"/>
      <c r="W28" s="34" t="n">
        <f aca="false">P28+Q28+R28+S28</f>
        <v>0</v>
      </c>
      <c r="X28" s="34" t="n">
        <f aca="false">SUM(P28:S28)-U28</f>
        <v>0</v>
      </c>
      <c r="Y28" s="28"/>
    </row>
    <row r="29" customFormat="false" ht="22.5" hidden="false" customHeight="true" outlineLevel="0" collapsed="false">
      <c r="A29" s="35" t="n">
        <v>46045</v>
      </c>
      <c r="B29" s="36" t="s">
        <v>103</v>
      </c>
      <c r="C29" s="37" t="s">
        <v>153</v>
      </c>
      <c r="D29" s="37" t="s">
        <v>183</v>
      </c>
      <c r="E29" s="39" t="s">
        <v>155</v>
      </c>
      <c r="F29" s="40" t="s">
        <v>25</v>
      </c>
      <c r="G29" s="52"/>
      <c r="H29" s="40" t="s">
        <v>114</v>
      </c>
      <c r="I29" s="36" t="s">
        <v>108</v>
      </c>
      <c r="J29" s="60" t="s">
        <v>184</v>
      </c>
      <c r="K29" s="60" t="s">
        <v>185</v>
      </c>
      <c r="L29" s="60" t="s">
        <v>186</v>
      </c>
      <c r="M29" s="49" t="n">
        <v>46143</v>
      </c>
      <c r="N29" s="49" t="n">
        <v>46507</v>
      </c>
      <c r="O29" s="55" t="n">
        <v>250</v>
      </c>
      <c r="P29" s="55" t="n">
        <v>1950</v>
      </c>
      <c r="Q29" s="56"/>
      <c r="R29" s="56"/>
      <c r="S29" s="56"/>
      <c r="T29" s="57" t="n">
        <v>0.05</v>
      </c>
      <c r="U29" s="45" t="n">
        <f aca="false">P29*T29</f>
        <v>97.5</v>
      </c>
      <c r="V29" s="33" t="n">
        <f aca="false">SUM(U29,(U29*0.05))</f>
        <v>102.375</v>
      </c>
      <c r="W29" s="46" t="n">
        <f aca="false">P29+Q29+R29+S29</f>
        <v>1950</v>
      </c>
      <c r="X29" s="34" t="n">
        <f aca="false">SUM(P29:S29)-V29</f>
        <v>1847.625</v>
      </c>
      <c r="Y29" s="42"/>
    </row>
    <row r="30" customFormat="false" ht="22.5" hidden="false" customHeight="true" outlineLevel="0" collapsed="false">
      <c r="A30" s="21" t="n">
        <v>46045</v>
      </c>
      <c r="B30" s="22" t="s">
        <v>103</v>
      </c>
      <c r="C30" s="23" t="s">
        <v>153</v>
      </c>
      <c r="D30" s="23" t="s">
        <v>183</v>
      </c>
      <c r="E30" s="25" t="s">
        <v>109</v>
      </c>
      <c r="F30" s="26" t="s">
        <v>25</v>
      </c>
      <c r="G30" s="47"/>
      <c r="H30" s="26" t="s">
        <v>114</v>
      </c>
      <c r="I30" s="22" t="s">
        <v>108</v>
      </c>
      <c r="J30" s="48" t="s">
        <v>187</v>
      </c>
      <c r="K30" s="48" t="s">
        <v>188</v>
      </c>
      <c r="L30" s="28"/>
      <c r="M30" s="49" t="n">
        <v>46174</v>
      </c>
      <c r="N30" s="49" t="n">
        <v>46538</v>
      </c>
      <c r="O30" s="30" t="n">
        <v>250</v>
      </c>
      <c r="P30" s="30" t="n">
        <v>950</v>
      </c>
      <c r="Q30" s="50"/>
      <c r="R30" s="50"/>
      <c r="S30" s="50"/>
      <c r="T30" s="32" t="n">
        <v>0.05</v>
      </c>
      <c r="U30" s="33" t="n">
        <f aca="false">P30*T30</f>
        <v>47.5</v>
      </c>
      <c r="V30" s="33" t="n">
        <f aca="false">SUM(U30,(U30*0.05))</f>
        <v>49.875</v>
      </c>
      <c r="W30" s="34" t="n">
        <f aca="false">P30+Q30+R30+S30</f>
        <v>950</v>
      </c>
      <c r="X30" s="34" t="n">
        <f aca="false">SUM(P30:S30)-V30</f>
        <v>900.125</v>
      </c>
      <c r="Y30" s="28"/>
    </row>
    <row r="31" customFormat="false" ht="22.5" hidden="false" customHeight="true" outlineLevel="0" collapsed="false">
      <c r="A31" s="35" t="n">
        <v>46045</v>
      </c>
      <c r="B31" s="36" t="s">
        <v>103</v>
      </c>
      <c r="C31" s="37" t="s">
        <v>153</v>
      </c>
      <c r="D31" s="37" t="s">
        <v>189</v>
      </c>
      <c r="E31" s="39" t="s">
        <v>155</v>
      </c>
      <c r="F31" s="40" t="s">
        <v>25</v>
      </c>
      <c r="G31" s="52"/>
      <c r="H31" s="40" t="s">
        <v>114</v>
      </c>
      <c r="I31" s="36" t="s">
        <v>108</v>
      </c>
      <c r="J31" s="42" t="s">
        <v>190</v>
      </c>
      <c r="K31" s="42" t="s">
        <v>191</v>
      </c>
      <c r="L31" s="42" t="s">
        <v>192</v>
      </c>
      <c r="M31" s="49" t="n">
        <v>46143</v>
      </c>
      <c r="N31" s="49" t="n">
        <v>46507</v>
      </c>
      <c r="O31" s="55" t="n">
        <v>250</v>
      </c>
      <c r="P31" s="55" t="n">
        <v>1950</v>
      </c>
      <c r="Q31" s="56"/>
      <c r="R31" s="56"/>
      <c r="S31" s="56"/>
      <c r="T31" s="57" t="n">
        <v>0.05</v>
      </c>
      <c r="U31" s="45" t="n">
        <f aca="false">P31*T31</f>
        <v>97.5</v>
      </c>
      <c r="V31" s="33" t="n">
        <f aca="false">SUM(U31,(U31*0.05))</f>
        <v>102.375</v>
      </c>
      <c r="W31" s="46" t="n">
        <f aca="false">P31+Q31+R31+S31</f>
        <v>1950</v>
      </c>
      <c r="X31" s="34" t="n">
        <f aca="false">SUM(P31:S31)-V31</f>
        <v>1847.625</v>
      </c>
      <c r="Y31" s="42"/>
    </row>
    <row r="32" customFormat="false" ht="22.5" hidden="false" customHeight="true" outlineLevel="0" collapsed="false">
      <c r="A32" s="21" t="n">
        <v>46045</v>
      </c>
      <c r="B32" s="22" t="s">
        <v>103</v>
      </c>
      <c r="C32" s="23" t="s">
        <v>153</v>
      </c>
      <c r="D32" s="23" t="s">
        <v>189</v>
      </c>
      <c r="E32" s="25" t="s">
        <v>109</v>
      </c>
      <c r="F32" s="26" t="s">
        <v>25</v>
      </c>
      <c r="G32" s="47"/>
      <c r="H32" s="26" t="s">
        <v>114</v>
      </c>
      <c r="I32" s="22" t="s">
        <v>108</v>
      </c>
      <c r="J32" s="28" t="s">
        <v>193</v>
      </c>
      <c r="K32" s="28" t="s">
        <v>194</v>
      </c>
      <c r="L32" s="28" t="s">
        <v>195</v>
      </c>
      <c r="M32" s="49" t="n">
        <v>46143</v>
      </c>
      <c r="N32" s="49" t="n">
        <v>46507</v>
      </c>
      <c r="O32" s="30" t="n">
        <v>250</v>
      </c>
      <c r="P32" s="30" t="n">
        <v>950</v>
      </c>
      <c r="Q32" s="30" t="n">
        <v>25</v>
      </c>
      <c r="R32" s="50"/>
      <c r="S32" s="50"/>
      <c r="T32" s="32" t="n">
        <v>0.05</v>
      </c>
      <c r="U32" s="33" t="n">
        <f aca="false">P32*T32</f>
        <v>47.5</v>
      </c>
      <c r="V32" s="33" t="n">
        <f aca="false">SUM(U32,(U32*0.05))</f>
        <v>49.875</v>
      </c>
      <c r="W32" s="34" t="n">
        <f aca="false">P32+Q32+R32+S32</f>
        <v>975</v>
      </c>
      <c r="X32" s="34" t="n">
        <f aca="false">SUM(P32:S32)-V32</f>
        <v>925.125</v>
      </c>
      <c r="Y32" s="28"/>
    </row>
    <row r="33" customFormat="false" ht="22.5" hidden="false" customHeight="true" outlineLevel="0" collapsed="false">
      <c r="A33" s="35" t="n">
        <v>46045</v>
      </c>
      <c r="B33" s="36" t="s">
        <v>103</v>
      </c>
      <c r="C33" s="37" t="s">
        <v>153</v>
      </c>
      <c r="D33" s="37" t="s">
        <v>196</v>
      </c>
      <c r="E33" s="39" t="s">
        <v>155</v>
      </c>
      <c r="F33" s="40" t="s">
        <v>25</v>
      </c>
      <c r="G33" s="52"/>
      <c r="H33" s="40" t="s">
        <v>114</v>
      </c>
      <c r="I33" s="36" t="s">
        <v>108</v>
      </c>
      <c r="J33" s="42" t="s">
        <v>197</v>
      </c>
      <c r="K33" s="42" t="s">
        <v>198</v>
      </c>
      <c r="L33" s="42" t="s">
        <v>199</v>
      </c>
      <c r="M33" s="49" t="n">
        <v>46174</v>
      </c>
      <c r="N33" s="49" t="n">
        <v>46538</v>
      </c>
      <c r="O33" s="55" t="n">
        <v>250</v>
      </c>
      <c r="P33" s="55" t="n">
        <v>1950</v>
      </c>
      <c r="Q33" s="55" t="n">
        <v>50</v>
      </c>
      <c r="R33" s="56"/>
      <c r="S33" s="56"/>
      <c r="T33" s="57" t="n">
        <v>0.05</v>
      </c>
      <c r="U33" s="45" t="n">
        <f aca="false">P33*T33</f>
        <v>97.5</v>
      </c>
      <c r="V33" s="33" t="n">
        <f aca="false">SUM(U33,(U33*0.05))</f>
        <v>102.375</v>
      </c>
      <c r="W33" s="46" t="n">
        <f aca="false">P33+Q33+R33+S33</f>
        <v>2000</v>
      </c>
      <c r="X33" s="34" t="n">
        <f aca="false">SUM(P33:S33)-V33</f>
        <v>1897.625</v>
      </c>
      <c r="Y33" s="42"/>
    </row>
    <row r="34" customFormat="false" ht="22.5" hidden="false" customHeight="true" outlineLevel="0" collapsed="false">
      <c r="A34" s="21" t="n">
        <v>46045</v>
      </c>
      <c r="B34" s="22" t="s">
        <v>103</v>
      </c>
      <c r="C34" s="23" t="s">
        <v>153</v>
      </c>
      <c r="D34" s="23" t="s">
        <v>196</v>
      </c>
      <c r="E34" s="25" t="s">
        <v>109</v>
      </c>
      <c r="F34" s="26" t="s">
        <v>25</v>
      </c>
      <c r="G34" s="47"/>
      <c r="H34" s="26" t="s">
        <v>114</v>
      </c>
      <c r="I34" s="22" t="s">
        <v>108</v>
      </c>
      <c r="J34" s="28" t="s">
        <v>200</v>
      </c>
      <c r="K34" s="28" t="s">
        <v>201</v>
      </c>
      <c r="L34" s="28" t="s">
        <v>202</v>
      </c>
      <c r="M34" s="67" t="n">
        <v>46174</v>
      </c>
      <c r="N34" s="67" t="n">
        <v>46538</v>
      </c>
      <c r="O34" s="30" t="n">
        <v>250</v>
      </c>
      <c r="P34" s="30" t="n">
        <v>950</v>
      </c>
      <c r="Q34" s="50"/>
      <c r="R34" s="50"/>
      <c r="S34" s="50"/>
      <c r="T34" s="32" t="n">
        <v>0.05</v>
      </c>
      <c r="U34" s="33" t="n">
        <f aca="false">P34*T34</f>
        <v>47.5</v>
      </c>
      <c r="V34" s="33" t="n">
        <f aca="false">SUM(U34,(U34*0.05))</f>
        <v>49.875</v>
      </c>
      <c r="W34" s="34" t="n">
        <f aca="false">P34+Q34+R34+S34</f>
        <v>950</v>
      </c>
      <c r="X34" s="34" t="n">
        <f aca="false">SUM(P34:S34)-V34</f>
        <v>900.125</v>
      </c>
      <c r="Y34" s="28"/>
    </row>
    <row r="35" customFormat="false" ht="22.5" hidden="false" customHeight="true" outlineLevel="0" collapsed="false">
      <c r="A35" s="35" t="n">
        <v>46045</v>
      </c>
      <c r="B35" s="36" t="s">
        <v>103</v>
      </c>
      <c r="C35" s="37" t="s">
        <v>153</v>
      </c>
      <c r="D35" s="37" t="s">
        <v>203</v>
      </c>
      <c r="E35" s="39" t="s">
        <v>155</v>
      </c>
      <c r="F35" s="40" t="s">
        <v>25</v>
      </c>
      <c r="G35" s="52"/>
      <c r="H35" s="40" t="s">
        <v>114</v>
      </c>
      <c r="I35" s="36" t="s">
        <v>108</v>
      </c>
      <c r="J35" s="60" t="s">
        <v>204</v>
      </c>
      <c r="K35" s="60" t="s">
        <v>205</v>
      </c>
      <c r="L35" s="42" t="s">
        <v>206</v>
      </c>
      <c r="M35" s="49" t="n">
        <v>46143</v>
      </c>
      <c r="N35" s="49" t="n">
        <v>46507</v>
      </c>
      <c r="O35" s="55" t="n">
        <v>250</v>
      </c>
      <c r="P35" s="55" t="n">
        <v>1950</v>
      </c>
      <c r="Q35" s="55" t="n">
        <v>50</v>
      </c>
      <c r="R35" s="56"/>
      <c r="S35" s="56"/>
      <c r="T35" s="57" t="n">
        <v>0.05</v>
      </c>
      <c r="U35" s="45" t="n">
        <f aca="false">P35*T35</f>
        <v>97.5</v>
      </c>
      <c r="V35" s="33" t="n">
        <f aca="false">SUM(U35,(U35*0.05))</f>
        <v>102.375</v>
      </c>
      <c r="W35" s="46" t="n">
        <f aca="false">P35+Q35+R35+S35</f>
        <v>2000</v>
      </c>
      <c r="X35" s="34" t="n">
        <f aca="false">SUM(P35:S35)-V35</f>
        <v>1897.625</v>
      </c>
      <c r="Y35" s="42"/>
    </row>
    <row r="36" customFormat="false" ht="22.5" hidden="false" customHeight="true" outlineLevel="0" collapsed="false">
      <c r="A36" s="21" t="n">
        <v>46045</v>
      </c>
      <c r="B36" s="22" t="s">
        <v>103</v>
      </c>
      <c r="C36" s="23" t="s">
        <v>153</v>
      </c>
      <c r="D36" s="23" t="s">
        <v>203</v>
      </c>
      <c r="E36" s="25" t="s">
        <v>109</v>
      </c>
      <c r="F36" s="26" t="s">
        <v>25</v>
      </c>
      <c r="G36" s="47"/>
      <c r="H36" s="26" t="s">
        <v>114</v>
      </c>
      <c r="I36" s="22" t="s">
        <v>108</v>
      </c>
      <c r="J36" s="48" t="s">
        <v>207</v>
      </c>
      <c r="K36" s="48" t="s">
        <v>208</v>
      </c>
      <c r="L36" s="48" t="s">
        <v>209</v>
      </c>
      <c r="M36" s="49" t="n">
        <v>46174</v>
      </c>
      <c r="N36" s="49" t="n">
        <v>46538</v>
      </c>
      <c r="O36" s="30" t="n">
        <v>250</v>
      </c>
      <c r="P36" s="30" t="n">
        <v>950</v>
      </c>
      <c r="Q36" s="30" t="n">
        <v>50</v>
      </c>
      <c r="R36" s="50"/>
      <c r="S36" s="50"/>
      <c r="T36" s="32" t="n">
        <v>0.05</v>
      </c>
      <c r="U36" s="33" t="n">
        <f aca="false">P36*T36</f>
        <v>47.5</v>
      </c>
      <c r="V36" s="33" t="n">
        <f aca="false">SUM(U36,(U36*0.05))</f>
        <v>49.875</v>
      </c>
      <c r="W36" s="34" t="n">
        <f aca="false">P36+Q36+R36+S36</f>
        <v>1000</v>
      </c>
      <c r="X36" s="34" t="n">
        <f aca="false">SUM(P36:S36)-V36</f>
        <v>950.125</v>
      </c>
      <c r="Y36" s="28"/>
    </row>
    <row r="37" customFormat="false" ht="22.5" hidden="false" customHeight="true" outlineLevel="0" collapsed="false">
      <c r="A37" s="35" t="n">
        <v>46045</v>
      </c>
      <c r="B37" s="36" t="s">
        <v>103</v>
      </c>
      <c r="C37" s="37" t="s">
        <v>153</v>
      </c>
      <c r="D37" s="37" t="s">
        <v>210</v>
      </c>
      <c r="E37" s="39" t="s">
        <v>155</v>
      </c>
      <c r="F37" s="40" t="s">
        <v>25</v>
      </c>
      <c r="G37" s="52"/>
      <c r="H37" s="40" t="s">
        <v>114</v>
      </c>
      <c r="I37" s="36" t="s">
        <v>108</v>
      </c>
      <c r="J37" s="60" t="s">
        <v>211</v>
      </c>
      <c r="K37" s="60" t="s">
        <v>212</v>
      </c>
      <c r="L37" s="60" t="s">
        <v>213</v>
      </c>
      <c r="M37" s="49" t="n">
        <v>46143</v>
      </c>
      <c r="N37" s="49" t="n">
        <v>46507</v>
      </c>
      <c r="O37" s="55" t="n">
        <v>250</v>
      </c>
      <c r="P37" s="55" t="n">
        <v>1950</v>
      </c>
      <c r="Q37" s="55" t="n">
        <v>75</v>
      </c>
      <c r="R37" s="56"/>
      <c r="S37" s="56"/>
      <c r="T37" s="57" t="n">
        <v>0.05</v>
      </c>
      <c r="U37" s="45" t="n">
        <f aca="false">P37*T37</f>
        <v>97.5</v>
      </c>
      <c r="V37" s="33" t="n">
        <f aca="false">SUM(U37,(U37*0.05))</f>
        <v>102.375</v>
      </c>
      <c r="W37" s="46" t="n">
        <f aca="false">P37+Q37+R37+S37</f>
        <v>2025</v>
      </c>
      <c r="X37" s="34" t="n">
        <f aca="false">SUM(P37:S37)-V37</f>
        <v>1922.625</v>
      </c>
      <c r="Y37" s="42"/>
    </row>
    <row r="38" customFormat="false" ht="22.5" hidden="false" customHeight="true" outlineLevel="0" collapsed="false">
      <c r="A38" s="21" t="n">
        <v>46045</v>
      </c>
      <c r="B38" s="22" t="s">
        <v>103</v>
      </c>
      <c r="C38" s="23" t="s">
        <v>153</v>
      </c>
      <c r="D38" s="23" t="s">
        <v>210</v>
      </c>
      <c r="E38" s="25" t="s">
        <v>109</v>
      </c>
      <c r="F38" s="26" t="s">
        <v>25</v>
      </c>
      <c r="G38" s="27"/>
      <c r="H38" s="22" t="s">
        <v>107</v>
      </c>
      <c r="I38" s="22" t="s">
        <v>108</v>
      </c>
      <c r="J38" s="28"/>
      <c r="K38" s="28"/>
      <c r="L38" s="28"/>
      <c r="M38" s="29"/>
      <c r="N38" s="27"/>
      <c r="O38" s="55" t="n">
        <v>250</v>
      </c>
      <c r="P38" s="31"/>
      <c r="Q38" s="31"/>
      <c r="R38" s="31"/>
      <c r="S38" s="31"/>
      <c r="T38" s="57" t="n">
        <v>0.05</v>
      </c>
      <c r="U38" s="33" t="n">
        <f aca="false">P38*T38</f>
        <v>0</v>
      </c>
      <c r="V38" s="33"/>
      <c r="W38" s="34" t="n">
        <f aca="false">P38+Q38+R38+S38</f>
        <v>0</v>
      </c>
      <c r="X38" s="34" t="n">
        <f aca="false">SUM(P38:S38)-U38</f>
        <v>0</v>
      </c>
      <c r="Y38" s="28"/>
    </row>
    <row r="39" customFormat="false" ht="22.5" hidden="false" customHeight="true" outlineLevel="0" collapsed="false">
      <c r="A39" s="35" t="n">
        <v>46045</v>
      </c>
      <c r="B39" s="36" t="s">
        <v>103</v>
      </c>
      <c r="C39" s="37" t="s">
        <v>153</v>
      </c>
      <c r="D39" s="37" t="s">
        <v>214</v>
      </c>
      <c r="E39" s="39" t="s">
        <v>155</v>
      </c>
      <c r="F39" s="40" t="s">
        <v>25</v>
      </c>
      <c r="G39" s="52"/>
      <c r="H39" s="40" t="s">
        <v>114</v>
      </c>
      <c r="I39" s="36" t="s">
        <v>108</v>
      </c>
      <c r="J39" s="60" t="s">
        <v>215</v>
      </c>
      <c r="K39" s="60" t="s">
        <v>216</v>
      </c>
      <c r="L39" s="60" t="s">
        <v>217</v>
      </c>
      <c r="M39" s="49" t="n">
        <v>46143</v>
      </c>
      <c r="N39" s="49" t="n">
        <v>46507</v>
      </c>
      <c r="O39" s="55" t="n">
        <v>250</v>
      </c>
      <c r="P39" s="55" t="n">
        <v>1950</v>
      </c>
      <c r="Q39" s="55" t="n">
        <v>50</v>
      </c>
      <c r="R39" s="56"/>
      <c r="S39" s="56"/>
      <c r="T39" s="57" t="n">
        <v>0.05</v>
      </c>
      <c r="U39" s="45" t="n">
        <f aca="false">P39*T39</f>
        <v>97.5</v>
      </c>
      <c r="V39" s="33" t="n">
        <f aca="false">SUM(U39,(U39*0.05))</f>
        <v>102.375</v>
      </c>
      <c r="W39" s="46" t="n">
        <f aca="false">P39+Q39+R39+S39</f>
        <v>2000</v>
      </c>
      <c r="X39" s="34" t="n">
        <f aca="false">SUM(P39:S39)-V39</f>
        <v>1897.625</v>
      </c>
      <c r="Y39" s="42"/>
    </row>
    <row r="40" customFormat="false" ht="22.5" hidden="false" customHeight="true" outlineLevel="0" collapsed="false">
      <c r="A40" s="21" t="n">
        <v>46045</v>
      </c>
      <c r="B40" s="22" t="s">
        <v>103</v>
      </c>
      <c r="C40" s="23" t="s">
        <v>153</v>
      </c>
      <c r="D40" s="23" t="s">
        <v>214</v>
      </c>
      <c r="E40" s="25" t="s">
        <v>109</v>
      </c>
      <c r="F40" s="26" t="s">
        <v>25</v>
      </c>
      <c r="G40" s="47"/>
      <c r="H40" s="26" t="s">
        <v>114</v>
      </c>
      <c r="I40" s="22" t="s">
        <v>108</v>
      </c>
      <c r="J40" s="48" t="s">
        <v>218</v>
      </c>
      <c r="K40" s="48" t="s">
        <v>219</v>
      </c>
      <c r="L40" s="48" t="s">
        <v>220</v>
      </c>
      <c r="M40" s="49" t="n">
        <v>46143</v>
      </c>
      <c r="N40" s="49" t="n">
        <v>46507</v>
      </c>
      <c r="O40" s="30" t="n">
        <v>250</v>
      </c>
      <c r="P40" s="30" t="n">
        <v>950</v>
      </c>
      <c r="Q40" s="30" t="n">
        <v>25</v>
      </c>
      <c r="R40" s="50"/>
      <c r="S40" s="50"/>
      <c r="T40" s="32" t="n">
        <v>0.05</v>
      </c>
      <c r="U40" s="33" t="n">
        <f aca="false">P40*T40</f>
        <v>47.5</v>
      </c>
      <c r="V40" s="33" t="n">
        <f aca="false">SUM(U40,(U40*0.05))</f>
        <v>49.875</v>
      </c>
      <c r="W40" s="34" t="n">
        <f aca="false">P40+Q40+R40+S40</f>
        <v>975</v>
      </c>
      <c r="X40" s="34" t="n">
        <f aca="false">SUM(P40:S40)-V40</f>
        <v>925.125</v>
      </c>
      <c r="Y40" s="28"/>
    </row>
    <row r="41" customFormat="false" ht="22.5" hidden="false" customHeight="true" outlineLevel="0" collapsed="false">
      <c r="A41" s="35" t="n">
        <v>46045</v>
      </c>
      <c r="B41" s="36" t="s">
        <v>103</v>
      </c>
      <c r="C41" s="37" t="s">
        <v>153</v>
      </c>
      <c r="D41" s="37" t="s">
        <v>221</v>
      </c>
      <c r="E41" s="39" t="s">
        <v>155</v>
      </c>
      <c r="F41" s="40" t="s">
        <v>25</v>
      </c>
      <c r="G41" s="52"/>
      <c r="H41" s="40" t="s">
        <v>114</v>
      </c>
      <c r="I41" s="36" t="s">
        <v>108</v>
      </c>
      <c r="J41" s="42" t="s">
        <v>222</v>
      </c>
      <c r="K41" s="42" t="s">
        <v>223</v>
      </c>
      <c r="L41" s="42" t="s">
        <v>224</v>
      </c>
      <c r="M41" s="49" t="n">
        <v>46143</v>
      </c>
      <c r="N41" s="49" t="n">
        <v>46507</v>
      </c>
      <c r="O41" s="55" t="n">
        <v>250</v>
      </c>
      <c r="P41" s="55" t="n">
        <v>1950</v>
      </c>
      <c r="Q41" s="56"/>
      <c r="R41" s="56"/>
      <c r="S41" s="56"/>
      <c r="T41" s="57" t="n">
        <v>0.05</v>
      </c>
      <c r="U41" s="45" t="n">
        <f aca="false">P41*T41</f>
        <v>97.5</v>
      </c>
      <c r="V41" s="33" t="n">
        <f aca="false">SUM(U41,(U41*0.05))</f>
        <v>102.375</v>
      </c>
      <c r="W41" s="46" t="n">
        <f aca="false">P41+Q41+R41+S41</f>
        <v>1950</v>
      </c>
      <c r="X41" s="34" t="n">
        <f aca="false">SUM(P41:S41)-V41</f>
        <v>1847.625</v>
      </c>
      <c r="Y41" s="42"/>
    </row>
    <row r="42" customFormat="false" ht="22.5" hidden="false" customHeight="true" outlineLevel="0" collapsed="false">
      <c r="A42" s="21" t="n">
        <v>46045</v>
      </c>
      <c r="B42" s="22" t="s">
        <v>103</v>
      </c>
      <c r="C42" s="23" t="s">
        <v>153</v>
      </c>
      <c r="D42" s="23" t="s">
        <v>221</v>
      </c>
      <c r="E42" s="25" t="s">
        <v>109</v>
      </c>
      <c r="F42" s="26" t="s">
        <v>25</v>
      </c>
      <c r="G42" s="47"/>
      <c r="H42" s="26" t="s">
        <v>114</v>
      </c>
      <c r="I42" s="22" t="s">
        <v>108</v>
      </c>
      <c r="J42" s="48" t="s">
        <v>225</v>
      </c>
      <c r="K42" s="48" t="s">
        <v>226</v>
      </c>
      <c r="L42" s="28" t="s">
        <v>227</v>
      </c>
      <c r="M42" s="49" t="n">
        <v>46143</v>
      </c>
      <c r="N42" s="49" t="n">
        <v>46507</v>
      </c>
      <c r="O42" s="30" t="n">
        <v>250</v>
      </c>
      <c r="P42" s="30" t="n">
        <v>950</v>
      </c>
      <c r="Q42" s="30" t="n">
        <v>50</v>
      </c>
      <c r="R42" s="50"/>
      <c r="S42" s="50"/>
      <c r="T42" s="32" t="n">
        <v>0.05</v>
      </c>
      <c r="U42" s="33" t="n">
        <f aca="false">P42*T42</f>
        <v>47.5</v>
      </c>
      <c r="V42" s="33" t="n">
        <f aca="false">SUM(U42,(U42*0.05))</f>
        <v>49.875</v>
      </c>
      <c r="W42" s="34" t="n">
        <f aca="false">P42+Q42+R42+S42</f>
        <v>1000</v>
      </c>
      <c r="X42" s="34" t="n">
        <f aca="false">SUM(P42:S42)-V42</f>
        <v>950.125</v>
      </c>
      <c r="Y42" s="28"/>
    </row>
    <row r="43" customFormat="false" ht="22.5" hidden="false" customHeight="true" outlineLevel="0" collapsed="false">
      <c r="A43" s="35" t="n">
        <v>46045</v>
      </c>
      <c r="B43" s="36" t="s">
        <v>103</v>
      </c>
      <c r="C43" s="37" t="s">
        <v>153</v>
      </c>
      <c r="D43" s="37" t="s">
        <v>228</v>
      </c>
      <c r="E43" s="39" t="s">
        <v>155</v>
      </c>
      <c r="F43" s="40" t="s">
        <v>25</v>
      </c>
      <c r="G43" s="52"/>
      <c r="H43" s="40" t="s">
        <v>114</v>
      </c>
      <c r="I43" s="36" t="s">
        <v>108</v>
      </c>
      <c r="J43" s="42" t="s">
        <v>229</v>
      </c>
      <c r="K43" s="42"/>
      <c r="L43" s="42"/>
      <c r="M43" s="49" t="n">
        <v>46204</v>
      </c>
      <c r="N43" s="49" t="n">
        <v>46568</v>
      </c>
      <c r="O43" s="55" t="n">
        <v>250</v>
      </c>
      <c r="P43" s="55" t="n">
        <v>1950</v>
      </c>
      <c r="Q43" s="56"/>
      <c r="R43" s="56"/>
      <c r="S43" s="56"/>
      <c r="T43" s="57" t="n">
        <v>0.05</v>
      </c>
      <c r="U43" s="45" t="n">
        <f aca="false">P43*T43</f>
        <v>97.5</v>
      </c>
      <c r="V43" s="33" t="n">
        <f aca="false">SUM(U43,(U43*0.05))</f>
        <v>102.375</v>
      </c>
      <c r="W43" s="46" t="n">
        <f aca="false">P43+Q43+R43+S43</f>
        <v>1950</v>
      </c>
      <c r="X43" s="34" t="n">
        <f aca="false">SUM(P43:S43)-V43</f>
        <v>1847.625</v>
      </c>
      <c r="Y43" s="42"/>
    </row>
    <row r="44" customFormat="false" ht="22.5" hidden="false" customHeight="true" outlineLevel="0" collapsed="false">
      <c r="A44" s="21" t="n">
        <v>46045</v>
      </c>
      <c r="B44" s="22" t="s">
        <v>103</v>
      </c>
      <c r="C44" s="23" t="s">
        <v>153</v>
      </c>
      <c r="D44" s="23" t="s">
        <v>228</v>
      </c>
      <c r="E44" s="25" t="s">
        <v>109</v>
      </c>
      <c r="F44" s="26" t="s">
        <v>25</v>
      </c>
      <c r="G44" s="47"/>
      <c r="H44" s="26" t="s">
        <v>114</v>
      </c>
      <c r="I44" s="22" t="s">
        <v>108</v>
      </c>
      <c r="J44" s="28" t="s">
        <v>230</v>
      </c>
      <c r="K44" s="28" t="s">
        <v>231</v>
      </c>
      <c r="L44" s="28" t="s">
        <v>232</v>
      </c>
      <c r="M44" s="49" t="n">
        <v>46143</v>
      </c>
      <c r="N44" s="49" t="n">
        <v>46507</v>
      </c>
      <c r="O44" s="30" t="n">
        <v>250</v>
      </c>
      <c r="P44" s="30" t="n">
        <v>950</v>
      </c>
      <c r="Q44" s="30" t="n">
        <v>25</v>
      </c>
      <c r="R44" s="50"/>
      <c r="S44" s="50"/>
      <c r="T44" s="32" t="n">
        <v>0.05</v>
      </c>
      <c r="U44" s="33" t="n">
        <f aca="false">P44*T44</f>
        <v>47.5</v>
      </c>
      <c r="V44" s="33" t="n">
        <f aca="false">SUM(U44,(U44*0.05))</f>
        <v>49.875</v>
      </c>
      <c r="W44" s="34" t="n">
        <f aca="false">P44+Q44+R44+S44</f>
        <v>975</v>
      </c>
      <c r="X44" s="34" t="n">
        <f aca="false">SUM(P44:S44)-V44</f>
        <v>925.125</v>
      </c>
      <c r="Y44" s="28"/>
    </row>
    <row r="45" customFormat="false" ht="22.5" hidden="false" customHeight="true" outlineLevel="0" collapsed="false">
      <c r="A45" s="35" t="n">
        <v>46045</v>
      </c>
      <c r="B45" s="36" t="s">
        <v>103</v>
      </c>
      <c r="C45" s="37" t="s">
        <v>153</v>
      </c>
      <c r="D45" s="37" t="s">
        <v>233</v>
      </c>
      <c r="E45" s="39" t="s">
        <v>155</v>
      </c>
      <c r="F45" s="40" t="s">
        <v>25</v>
      </c>
      <c r="G45" s="52"/>
      <c r="H45" s="40" t="s">
        <v>114</v>
      </c>
      <c r="I45" s="36" t="s">
        <v>108</v>
      </c>
      <c r="J45" s="60" t="s">
        <v>234</v>
      </c>
      <c r="K45" s="60" t="s">
        <v>235</v>
      </c>
      <c r="L45" s="60" t="s">
        <v>236</v>
      </c>
      <c r="M45" s="49" t="n">
        <v>46143</v>
      </c>
      <c r="N45" s="49" t="n">
        <v>46507</v>
      </c>
      <c r="O45" s="55" t="n">
        <v>250</v>
      </c>
      <c r="P45" s="55" t="n">
        <v>1950</v>
      </c>
      <c r="Q45" s="55" t="n">
        <v>50</v>
      </c>
      <c r="R45" s="56"/>
      <c r="S45" s="56"/>
      <c r="T45" s="57" t="n">
        <v>0.05</v>
      </c>
      <c r="U45" s="45" t="n">
        <f aca="false">P45*T45</f>
        <v>97.5</v>
      </c>
      <c r="V45" s="33" t="n">
        <f aca="false">SUM(U45,(U45*0.05))</f>
        <v>102.375</v>
      </c>
      <c r="W45" s="46" t="n">
        <f aca="false">P45+Q45+R45+S45</f>
        <v>2000</v>
      </c>
      <c r="X45" s="34" t="n">
        <f aca="false">SUM(P45:S45)-V45</f>
        <v>1897.625</v>
      </c>
      <c r="Y45" s="42"/>
    </row>
    <row r="46" customFormat="false" ht="22.5" hidden="false" customHeight="true" outlineLevel="0" collapsed="false">
      <c r="A46" s="21" t="n">
        <v>46045</v>
      </c>
      <c r="B46" s="22" t="s">
        <v>103</v>
      </c>
      <c r="C46" s="23" t="s">
        <v>153</v>
      </c>
      <c r="D46" s="23" t="s">
        <v>233</v>
      </c>
      <c r="E46" s="25" t="s">
        <v>109</v>
      </c>
      <c r="F46" s="26" t="s">
        <v>25</v>
      </c>
      <c r="G46" s="47"/>
      <c r="H46" s="26" t="s">
        <v>114</v>
      </c>
      <c r="I46" s="22" t="s">
        <v>108</v>
      </c>
      <c r="J46" s="48" t="s">
        <v>237</v>
      </c>
      <c r="K46" s="48" t="s">
        <v>238</v>
      </c>
      <c r="L46" s="48" t="s">
        <v>239</v>
      </c>
      <c r="M46" s="67" t="n">
        <v>46143</v>
      </c>
      <c r="N46" s="67" t="n">
        <v>46507</v>
      </c>
      <c r="O46" s="30" t="n">
        <v>250</v>
      </c>
      <c r="P46" s="30" t="n">
        <v>950</v>
      </c>
      <c r="Q46" s="50"/>
      <c r="R46" s="50"/>
      <c r="S46" s="50"/>
      <c r="T46" s="32" t="n">
        <v>0.05</v>
      </c>
      <c r="U46" s="33" t="n">
        <f aca="false">P46*T46</f>
        <v>47.5</v>
      </c>
      <c r="V46" s="33" t="n">
        <f aca="false">SUM(U46,(U46*0.05))</f>
        <v>49.875</v>
      </c>
      <c r="W46" s="34" t="n">
        <f aca="false">P46+Q46+R46+S46</f>
        <v>950</v>
      </c>
      <c r="X46" s="34" t="n">
        <f aca="false">SUM(P46:S46)-V46</f>
        <v>900.125</v>
      </c>
      <c r="Y46" s="28"/>
    </row>
    <row r="47" customFormat="false" ht="22.5" hidden="false" customHeight="true" outlineLevel="0" collapsed="false">
      <c r="A47" s="35" t="n">
        <v>46045</v>
      </c>
      <c r="B47" s="36" t="s">
        <v>103</v>
      </c>
      <c r="C47" s="37" t="s">
        <v>153</v>
      </c>
      <c r="D47" s="37" t="s">
        <v>240</v>
      </c>
      <c r="E47" s="39" t="s">
        <v>155</v>
      </c>
      <c r="F47" s="40" t="s">
        <v>25</v>
      </c>
      <c r="G47" s="52"/>
      <c r="H47" s="40" t="s">
        <v>114</v>
      </c>
      <c r="I47" s="36" t="s">
        <v>108</v>
      </c>
      <c r="J47" s="60" t="s">
        <v>241</v>
      </c>
      <c r="K47" s="42" t="s">
        <v>242</v>
      </c>
      <c r="L47" s="42" t="s">
        <v>243</v>
      </c>
      <c r="M47" s="49" t="n">
        <v>46143</v>
      </c>
      <c r="N47" s="49" t="n">
        <v>46507</v>
      </c>
      <c r="O47" s="55" t="n">
        <v>250</v>
      </c>
      <c r="P47" s="55" t="n">
        <v>1950</v>
      </c>
      <c r="Q47" s="55" t="n">
        <v>50</v>
      </c>
      <c r="R47" s="56"/>
      <c r="S47" s="56"/>
      <c r="T47" s="57" t="n">
        <v>0.05</v>
      </c>
      <c r="U47" s="45" t="n">
        <f aca="false">P47*T47</f>
        <v>97.5</v>
      </c>
      <c r="V47" s="33" t="n">
        <f aca="false">SUM(U47,(U47*0.05))</f>
        <v>102.375</v>
      </c>
      <c r="W47" s="46" t="n">
        <f aca="false">P47+Q47+R47+S47</f>
        <v>2000</v>
      </c>
      <c r="X47" s="34" t="n">
        <f aca="false">SUM(P47:S47)-V47</f>
        <v>1897.625</v>
      </c>
      <c r="Y47" s="42"/>
    </row>
    <row r="48" customFormat="false" ht="22.5" hidden="false" customHeight="true" outlineLevel="0" collapsed="false">
      <c r="A48" s="21" t="n">
        <v>46045</v>
      </c>
      <c r="B48" s="22" t="s">
        <v>103</v>
      </c>
      <c r="C48" s="23" t="s">
        <v>153</v>
      </c>
      <c r="D48" s="23" t="s">
        <v>240</v>
      </c>
      <c r="E48" s="25" t="s">
        <v>109</v>
      </c>
      <c r="F48" s="26" t="s">
        <v>25</v>
      </c>
      <c r="G48" s="47"/>
      <c r="H48" s="26" t="s">
        <v>114</v>
      </c>
      <c r="I48" s="22" t="s">
        <v>108</v>
      </c>
      <c r="J48" s="28" t="s">
        <v>244</v>
      </c>
      <c r="K48" s="28" t="s">
        <v>245</v>
      </c>
      <c r="L48" s="28" t="s">
        <v>246</v>
      </c>
      <c r="M48" s="67" t="n">
        <v>46174</v>
      </c>
      <c r="N48" s="67" t="n">
        <v>46538</v>
      </c>
      <c r="O48" s="30" t="n">
        <v>250</v>
      </c>
      <c r="P48" s="30" t="n">
        <v>950</v>
      </c>
      <c r="Q48" s="50"/>
      <c r="R48" s="50"/>
      <c r="S48" s="50"/>
      <c r="T48" s="32" t="n">
        <v>0.05</v>
      </c>
      <c r="U48" s="33" t="n">
        <f aca="false">P48*T48</f>
        <v>47.5</v>
      </c>
      <c r="V48" s="33" t="n">
        <f aca="false">SUM(U48,(U48*0.05))</f>
        <v>49.875</v>
      </c>
      <c r="W48" s="34" t="n">
        <f aca="false">P48+Q48+R48+S48</f>
        <v>950</v>
      </c>
      <c r="X48" s="34" t="n">
        <f aca="false">SUM(P48:S48)-V48</f>
        <v>900.125</v>
      </c>
      <c r="Y48" s="28"/>
    </row>
    <row r="49" customFormat="false" ht="22.5" hidden="false" customHeight="true" outlineLevel="0" collapsed="false">
      <c r="A49" s="35" t="n">
        <v>46045</v>
      </c>
      <c r="B49" s="36" t="s">
        <v>103</v>
      </c>
      <c r="C49" s="37" t="s">
        <v>153</v>
      </c>
      <c r="D49" s="37" t="s">
        <v>247</v>
      </c>
      <c r="E49" s="39" t="s">
        <v>155</v>
      </c>
      <c r="F49" s="40" t="s">
        <v>25</v>
      </c>
      <c r="G49" s="41"/>
      <c r="H49" s="36" t="s">
        <v>107</v>
      </c>
      <c r="I49" s="36" t="s">
        <v>108</v>
      </c>
      <c r="J49" s="42"/>
      <c r="K49" s="42"/>
      <c r="L49" s="42"/>
      <c r="M49" s="43"/>
      <c r="N49" s="41"/>
      <c r="O49" s="55" t="n">
        <v>250</v>
      </c>
      <c r="P49" s="44"/>
      <c r="Q49" s="44"/>
      <c r="R49" s="44"/>
      <c r="S49" s="44"/>
      <c r="T49" s="32" t="n">
        <v>0.05</v>
      </c>
      <c r="U49" s="45" t="n">
        <f aca="false">P49*T49</f>
        <v>0</v>
      </c>
      <c r="V49" s="45"/>
      <c r="W49" s="46" t="n">
        <f aca="false">P49+Q49+R49+S49</f>
        <v>0</v>
      </c>
      <c r="X49" s="46" t="n">
        <f aca="false">SUM(P49:S49)-U49</f>
        <v>0</v>
      </c>
      <c r="Y49" s="42"/>
    </row>
    <row r="50" customFormat="false" ht="22.5" hidden="false" customHeight="true" outlineLevel="0" collapsed="false">
      <c r="A50" s="21" t="n">
        <v>46045</v>
      </c>
      <c r="B50" s="22" t="s">
        <v>103</v>
      </c>
      <c r="C50" s="23" t="s">
        <v>153</v>
      </c>
      <c r="D50" s="23" t="s">
        <v>247</v>
      </c>
      <c r="E50" s="25" t="s">
        <v>109</v>
      </c>
      <c r="F50" s="26" t="s">
        <v>25</v>
      </c>
      <c r="G50" s="47"/>
      <c r="H50" s="26" t="s">
        <v>114</v>
      </c>
      <c r="I50" s="22" t="s">
        <v>108</v>
      </c>
      <c r="J50" s="28" t="s">
        <v>248</v>
      </c>
      <c r="K50" s="28" t="s">
        <v>249</v>
      </c>
      <c r="L50" s="28" t="s">
        <v>250</v>
      </c>
      <c r="M50" s="49" t="n">
        <v>46129</v>
      </c>
      <c r="N50" s="49" t="n">
        <v>46477</v>
      </c>
      <c r="O50" s="30" t="n">
        <v>250</v>
      </c>
      <c r="P50" s="30" t="n">
        <v>950</v>
      </c>
      <c r="Q50" s="50"/>
      <c r="R50" s="50"/>
      <c r="S50" s="50"/>
      <c r="T50" s="32" t="n">
        <v>0.05</v>
      </c>
      <c r="U50" s="33" t="n">
        <f aca="false">P50*T50</f>
        <v>47.5</v>
      </c>
      <c r="V50" s="33" t="n">
        <f aca="false">SUM(U50,(U50*0.05))</f>
        <v>49.875</v>
      </c>
      <c r="W50" s="34" t="n">
        <f aca="false">P50+Q50+R50+S50</f>
        <v>950</v>
      </c>
      <c r="X50" s="34" t="n">
        <f aca="false">SUM(P50:S50)-V50</f>
        <v>900.125</v>
      </c>
      <c r="Y50" s="28"/>
    </row>
    <row r="51" customFormat="false" ht="22.5" hidden="false" customHeight="true" outlineLevel="0" collapsed="false">
      <c r="A51" s="35" t="n">
        <v>46045</v>
      </c>
      <c r="B51" s="36" t="s">
        <v>103</v>
      </c>
      <c r="C51" s="37" t="s">
        <v>153</v>
      </c>
      <c r="D51" s="37" t="s">
        <v>251</v>
      </c>
      <c r="E51" s="39" t="s">
        <v>155</v>
      </c>
      <c r="F51" s="40" t="s">
        <v>25</v>
      </c>
      <c r="G51" s="52"/>
      <c r="H51" s="40" t="s">
        <v>114</v>
      </c>
      <c r="I51" s="36" t="s">
        <v>108</v>
      </c>
      <c r="J51" s="60" t="s">
        <v>252</v>
      </c>
      <c r="K51" s="60" t="s">
        <v>253</v>
      </c>
      <c r="L51" s="42" t="s">
        <v>254</v>
      </c>
      <c r="M51" s="49" t="n">
        <v>46143</v>
      </c>
      <c r="N51" s="49" t="n">
        <v>46507</v>
      </c>
      <c r="O51" s="55" t="n">
        <v>250</v>
      </c>
      <c r="P51" s="55" t="n">
        <v>1950</v>
      </c>
      <c r="Q51" s="56"/>
      <c r="R51" s="56"/>
      <c r="S51" s="56"/>
      <c r="T51" s="57" t="n">
        <v>0.05</v>
      </c>
      <c r="U51" s="45" t="n">
        <f aca="false">P51*T51</f>
        <v>97.5</v>
      </c>
      <c r="V51" s="33" t="n">
        <f aca="false">SUM(U51,(U51*0.05))</f>
        <v>102.375</v>
      </c>
      <c r="W51" s="46" t="n">
        <f aca="false">P51+Q51+R51+S51</f>
        <v>1950</v>
      </c>
      <c r="X51" s="34" t="n">
        <f aca="false">SUM(P51:S51)-V51</f>
        <v>1847.625</v>
      </c>
      <c r="Y51" s="42"/>
    </row>
    <row r="52" customFormat="false" ht="22.5" hidden="false" customHeight="true" outlineLevel="0" collapsed="false">
      <c r="A52" s="21" t="n">
        <v>46045</v>
      </c>
      <c r="B52" s="22" t="s">
        <v>103</v>
      </c>
      <c r="C52" s="23" t="s">
        <v>153</v>
      </c>
      <c r="D52" s="23" t="s">
        <v>251</v>
      </c>
      <c r="E52" s="25" t="s">
        <v>109</v>
      </c>
      <c r="F52" s="26" t="s">
        <v>25</v>
      </c>
      <c r="G52" s="47"/>
      <c r="H52" s="26" t="s">
        <v>114</v>
      </c>
      <c r="I52" s="22" t="s">
        <v>108</v>
      </c>
      <c r="J52" s="28" t="s">
        <v>255</v>
      </c>
      <c r="K52" s="28" t="s">
        <v>256</v>
      </c>
      <c r="L52" s="28" t="s">
        <v>257</v>
      </c>
      <c r="M52" s="67" t="n">
        <v>46143</v>
      </c>
      <c r="N52" s="67" t="n">
        <v>46507</v>
      </c>
      <c r="O52" s="30" t="n">
        <v>250</v>
      </c>
      <c r="P52" s="30" t="n">
        <v>950</v>
      </c>
      <c r="Q52" s="50"/>
      <c r="R52" s="50"/>
      <c r="S52" s="50"/>
      <c r="T52" s="32" t="n">
        <v>0.05</v>
      </c>
      <c r="U52" s="33" t="n">
        <f aca="false">P52*T52</f>
        <v>47.5</v>
      </c>
      <c r="V52" s="33" t="n">
        <f aca="false">SUM(U52,(U52*0.05))</f>
        <v>49.875</v>
      </c>
      <c r="W52" s="34" t="n">
        <f aca="false">P52+Q52+R52+S52</f>
        <v>950</v>
      </c>
      <c r="X52" s="34" t="n">
        <f aca="false">SUM(P52:S52)-V52</f>
        <v>900.125</v>
      </c>
      <c r="Y52" s="28"/>
    </row>
    <row r="53" customFormat="false" ht="22.5" hidden="false" customHeight="true" outlineLevel="0" collapsed="false">
      <c r="A53" s="35" t="n">
        <v>46160</v>
      </c>
      <c r="B53" s="36" t="s">
        <v>103</v>
      </c>
      <c r="C53" s="37" t="s">
        <v>258</v>
      </c>
      <c r="D53" s="37" t="s">
        <v>259</v>
      </c>
      <c r="E53" s="39" t="n">
        <v>98</v>
      </c>
      <c r="F53" s="40" t="s">
        <v>25</v>
      </c>
      <c r="G53" s="52"/>
      <c r="H53" s="40" t="s">
        <v>114</v>
      </c>
      <c r="I53" s="36" t="s">
        <v>108</v>
      </c>
      <c r="J53" s="42" t="s">
        <v>260</v>
      </c>
      <c r="K53" s="42" t="s">
        <v>261</v>
      </c>
      <c r="L53" s="42" t="s">
        <v>262</v>
      </c>
      <c r="M53" s="49" t="n">
        <v>46204</v>
      </c>
      <c r="N53" s="49" t="n">
        <v>46568</v>
      </c>
      <c r="O53" s="55" t="n">
        <v>300</v>
      </c>
      <c r="P53" s="55" t="n">
        <v>1000</v>
      </c>
      <c r="Q53" s="56"/>
      <c r="R53" s="56"/>
      <c r="S53" s="56"/>
      <c r="T53" s="57" t="n">
        <v>0.06</v>
      </c>
      <c r="U53" s="45" t="n">
        <f aca="false">P53*T53</f>
        <v>60</v>
      </c>
      <c r="V53" s="33" t="n">
        <f aca="false">SUM(U53,(U53*0.05))</f>
        <v>63</v>
      </c>
      <c r="W53" s="46" t="n">
        <f aca="false">P53+Q53+R53+S53</f>
        <v>1000</v>
      </c>
      <c r="X53" s="34" t="n">
        <f aca="false">SUM(P53:S53)-V53</f>
        <v>937</v>
      </c>
      <c r="Y53" s="42"/>
    </row>
    <row r="54" customFormat="false" ht="22.5" hidden="false" customHeight="true" outlineLevel="0" collapsed="false">
      <c r="A54" s="21" t="n">
        <v>46160</v>
      </c>
      <c r="B54" s="22" t="s">
        <v>103</v>
      </c>
      <c r="C54" s="23" t="s">
        <v>258</v>
      </c>
      <c r="D54" s="24" t="s">
        <v>259</v>
      </c>
      <c r="E54" s="25" t="n">
        <v>99</v>
      </c>
      <c r="F54" s="26" t="s">
        <v>25</v>
      </c>
      <c r="G54" s="27"/>
      <c r="H54" s="22" t="s">
        <v>107</v>
      </c>
      <c r="I54" s="22" t="s">
        <v>108</v>
      </c>
      <c r="J54" s="28"/>
      <c r="K54" s="28"/>
      <c r="L54" s="28"/>
      <c r="M54" s="29"/>
      <c r="N54" s="27"/>
      <c r="O54" s="55" t="n">
        <v>300</v>
      </c>
      <c r="P54" s="31"/>
      <c r="Q54" s="31"/>
      <c r="R54" s="31"/>
      <c r="S54" s="31"/>
      <c r="T54" s="57" t="n">
        <v>0.06</v>
      </c>
      <c r="U54" s="33" t="n">
        <f aca="false">P54*T54</f>
        <v>0</v>
      </c>
      <c r="V54" s="33"/>
      <c r="W54" s="34" t="n">
        <f aca="false">P54+Q54+R54+S54</f>
        <v>0</v>
      </c>
      <c r="X54" s="34" t="n">
        <f aca="false">SUM(P54:S54)-U54</f>
        <v>0</v>
      </c>
      <c r="Y54" s="28"/>
    </row>
    <row r="55" customFormat="false" ht="22.5" hidden="false" customHeight="true" outlineLevel="0" collapsed="false">
      <c r="A55" s="35" t="n">
        <v>46160</v>
      </c>
      <c r="B55" s="36" t="s">
        <v>103</v>
      </c>
      <c r="C55" s="37" t="s">
        <v>258</v>
      </c>
      <c r="D55" s="37" t="s">
        <v>259</v>
      </c>
      <c r="E55" s="39" t="n">
        <v>100</v>
      </c>
      <c r="F55" s="40" t="s">
        <v>25</v>
      </c>
      <c r="G55" s="52"/>
      <c r="H55" s="40" t="s">
        <v>114</v>
      </c>
      <c r="I55" s="36" t="s">
        <v>108</v>
      </c>
      <c r="J55" s="42" t="s">
        <v>263</v>
      </c>
      <c r="K55" s="42" t="s">
        <v>264</v>
      </c>
      <c r="L55" s="42" t="s">
        <v>265</v>
      </c>
      <c r="M55" s="67" t="n">
        <v>46204</v>
      </c>
      <c r="N55" s="67" t="n">
        <v>46568</v>
      </c>
      <c r="O55" s="55" t="n">
        <v>300</v>
      </c>
      <c r="P55" s="55" t="n">
        <v>1200</v>
      </c>
      <c r="Q55" s="56"/>
      <c r="R55" s="56"/>
      <c r="S55" s="56"/>
      <c r="T55" s="57" t="n">
        <v>0.06</v>
      </c>
      <c r="U55" s="45" t="n">
        <f aca="false">P55*T55</f>
        <v>72</v>
      </c>
      <c r="V55" s="33" t="n">
        <f aca="false">SUM(U55,(U55*0.05))</f>
        <v>75.6</v>
      </c>
      <c r="W55" s="46" t="n">
        <f aca="false">P55+Q55+R55+S55</f>
        <v>1200</v>
      </c>
      <c r="X55" s="34" t="n">
        <f aca="false">SUM(P55:S55)-V55</f>
        <v>1124.4</v>
      </c>
      <c r="Y55" s="42"/>
    </row>
    <row r="56" customFormat="false" ht="22.5" hidden="false" customHeight="true" outlineLevel="0" collapsed="false">
      <c r="A56" s="21" t="n">
        <v>46160</v>
      </c>
      <c r="B56" s="22" t="s">
        <v>103</v>
      </c>
      <c r="C56" s="23" t="s">
        <v>258</v>
      </c>
      <c r="D56" s="23" t="s">
        <v>259</v>
      </c>
      <c r="E56" s="25" t="n">
        <v>101</v>
      </c>
      <c r="F56" s="26" t="s">
        <v>25</v>
      </c>
      <c r="G56" s="47"/>
      <c r="H56" s="26" t="s">
        <v>114</v>
      </c>
      <c r="I56" s="22" t="s">
        <v>108</v>
      </c>
      <c r="J56" s="28" t="s">
        <v>266</v>
      </c>
      <c r="K56" s="71"/>
      <c r="L56" s="71"/>
      <c r="M56" s="49" t="n">
        <v>46204</v>
      </c>
      <c r="N56" s="49" t="n">
        <v>46568</v>
      </c>
      <c r="O56" s="30" t="n">
        <v>300</v>
      </c>
      <c r="P56" s="30" t="n">
        <v>900</v>
      </c>
      <c r="Q56" s="50"/>
      <c r="R56" s="50"/>
      <c r="S56" s="50"/>
      <c r="T56" s="32" t="n">
        <v>0.06</v>
      </c>
      <c r="U56" s="33" t="n">
        <f aca="false">P56*T56</f>
        <v>54</v>
      </c>
      <c r="V56" s="33" t="n">
        <f aca="false">SUM(U56,(U56*0.05))</f>
        <v>56.7</v>
      </c>
      <c r="W56" s="34" t="n">
        <f aca="false">P56+Q56+R56+S56</f>
        <v>900</v>
      </c>
      <c r="X56" s="34" t="n">
        <f aca="false">SUM(P56:S56)-V56</f>
        <v>843.3</v>
      </c>
      <c r="Y56" s="28"/>
    </row>
    <row r="57" customFormat="false" ht="22.5" hidden="false" customHeight="true" outlineLevel="0" collapsed="false">
      <c r="A57" s="35" t="n">
        <v>46160</v>
      </c>
      <c r="B57" s="36" t="s">
        <v>103</v>
      </c>
      <c r="C57" s="37" t="s">
        <v>258</v>
      </c>
      <c r="D57" s="37" t="s">
        <v>259</v>
      </c>
      <c r="E57" s="39" t="n">
        <v>102</v>
      </c>
      <c r="F57" s="40" t="s">
        <v>25</v>
      </c>
      <c r="G57" s="52"/>
      <c r="H57" s="40" t="s">
        <v>114</v>
      </c>
      <c r="I57" s="36" t="s">
        <v>108</v>
      </c>
      <c r="J57" s="72" t="s">
        <v>267</v>
      </c>
      <c r="K57" s="72" t="s">
        <v>268</v>
      </c>
      <c r="L57" s="72" t="s">
        <v>269</v>
      </c>
      <c r="M57" s="67" t="n">
        <v>46204</v>
      </c>
      <c r="N57" s="67" t="n">
        <v>46568</v>
      </c>
      <c r="O57" s="55" t="n">
        <v>300</v>
      </c>
      <c r="P57" s="55" t="n">
        <v>850</v>
      </c>
      <c r="Q57" s="56"/>
      <c r="R57" s="56"/>
      <c r="S57" s="56"/>
      <c r="T57" s="57" t="n">
        <v>0.06</v>
      </c>
      <c r="U57" s="45" t="n">
        <f aca="false">P57*T57</f>
        <v>51</v>
      </c>
      <c r="V57" s="33" t="n">
        <f aca="false">SUM(U57,(U57*0.05))</f>
        <v>53.55</v>
      </c>
      <c r="W57" s="46" t="n">
        <f aca="false">P57+Q57+R57+S57</f>
        <v>850</v>
      </c>
      <c r="X57" s="34" t="n">
        <f aca="false">SUM(P57:S57)-V57</f>
        <v>796.45</v>
      </c>
      <c r="Y57" s="42"/>
    </row>
    <row r="58" customFormat="false" ht="22.5" hidden="false" customHeight="true" outlineLevel="0" collapsed="false">
      <c r="A58" s="21" t="n">
        <v>46160</v>
      </c>
      <c r="B58" s="22" t="s">
        <v>103</v>
      </c>
      <c r="C58" s="23" t="s">
        <v>258</v>
      </c>
      <c r="D58" s="23" t="s">
        <v>259</v>
      </c>
      <c r="E58" s="25" t="n">
        <v>103</v>
      </c>
      <c r="F58" s="26" t="s">
        <v>25</v>
      </c>
      <c r="G58" s="47"/>
      <c r="H58" s="26" t="s">
        <v>114</v>
      </c>
      <c r="I58" s="22" t="s">
        <v>108</v>
      </c>
      <c r="J58" s="71" t="s">
        <v>270</v>
      </c>
      <c r="K58" s="71"/>
      <c r="L58" s="71" t="s">
        <v>271</v>
      </c>
      <c r="M58" s="49" t="n">
        <v>46204</v>
      </c>
      <c r="N58" s="49" t="n">
        <v>46568</v>
      </c>
      <c r="O58" s="30" t="n">
        <v>300</v>
      </c>
      <c r="P58" s="30" t="n">
        <v>750</v>
      </c>
      <c r="Q58" s="50"/>
      <c r="R58" s="50"/>
      <c r="S58" s="50"/>
      <c r="T58" s="32" t="n">
        <v>0.06</v>
      </c>
      <c r="U58" s="33" t="n">
        <f aca="false">P58*T58</f>
        <v>45</v>
      </c>
      <c r="V58" s="33" t="n">
        <f aca="false">SUM(U58,(U58*0.05))</f>
        <v>47.25</v>
      </c>
      <c r="W58" s="34" t="n">
        <f aca="false">P58+Q58+R58+S58</f>
        <v>750</v>
      </c>
      <c r="X58" s="34" t="n">
        <f aca="false">SUM(P58:S58)-V58</f>
        <v>702.75</v>
      </c>
      <c r="Y58" s="28"/>
    </row>
    <row r="59" customFormat="false" ht="22.5" hidden="false" customHeight="true" outlineLevel="0" collapsed="false">
      <c r="A59" s="35" t="n">
        <v>46160</v>
      </c>
      <c r="B59" s="36" t="s">
        <v>103</v>
      </c>
      <c r="C59" s="37" t="s">
        <v>258</v>
      </c>
      <c r="D59" s="37" t="s">
        <v>259</v>
      </c>
      <c r="E59" s="39" t="n">
        <v>104</v>
      </c>
      <c r="F59" s="40" t="s">
        <v>25</v>
      </c>
      <c r="G59" s="52"/>
      <c r="H59" s="40" t="s">
        <v>114</v>
      </c>
      <c r="I59" s="36" t="s">
        <v>108</v>
      </c>
      <c r="J59" s="72" t="s">
        <v>272</v>
      </c>
      <c r="K59" s="72" t="s">
        <v>273</v>
      </c>
      <c r="L59" s="72" t="s">
        <v>274</v>
      </c>
      <c r="M59" s="67" t="n">
        <v>46204</v>
      </c>
      <c r="N59" s="67" t="n">
        <v>46568</v>
      </c>
      <c r="O59" s="55" t="n">
        <v>300</v>
      </c>
      <c r="P59" s="55" t="n">
        <v>745</v>
      </c>
      <c r="Q59" s="56"/>
      <c r="R59" s="56"/>
      <c r="S59" s="56"/>
      <c r="T59" s="57" t="n">
        <v>0.06</v>
      </c>
      <c r="U59" s="45" t="n">
        <f aca="false">P59*T59</f>
        <v>44.7</v>
      </c>
      <c r="V59" s="33" t="n">
        <f aca="false">SUM(U59,(U59*0.05))</f>
        <v>46.935</v>
      </c>
      <c r="W59" s="46" t="n">
        <f aca="false">P59+Q59+R59+S59</f>
        <v>745</v>
      </c>
      <c r="X59" s="34" t="n">
        <f aca="false">SUM(P59:S59)-V59</f>
        <v>698.065</v>
      </c>
      <c r="Y59" s="42"/>
    </row>
    <row r="60" customFormat="false" ht="22.5" hidden="false" customHeight="true" outlineLevel="0" collapsed="false">
      <c r="A60" s="21" t="n">
        <v>46160</v>
      </c>
      <c r="B60" s="22" t="s">
        <v>103</v>
      </c>
      <c r="C60" s="23" t="s">
        <v>258</v>
      </c>
      <c r="D60" s="23" t="s">
        <v>259</v>
      </c>
      <c r="E60" s="25" t="n">
        <v>105</v>
      </c>
      <c r="F60" s="26" t="s">
        <v>25</v>
      </c>
      <c r="G60" s="47"/>
      <c r="H60" s="26" t="s">
        <v>114</v>
      </c>
      <c r="I60" s="22" t="s">
        <v>108</v>
      </c>
      <c r="J60" s="71" t="s">
        <v>275</v>
      </c>
      <c r="K60" s="71" t="s">
        <v>276</v>
      </c>
      <c r="L60" s="71" t="s">
        <v>277</v>
      </c>
      <c r="M60" s="49" t="n">
        <v>46204</v>
      </c>
      <c r="N60" s="49" t="n">
        <v>46568</v>
      </c>
      <c r="O60" s="30" t="n">
        <v>300</v>
      </c>
      <c r="P60" s="30" t="n">
        <v>1000</v>
      </c>
      <c r="Q60" s="50"/>
      <c r="R60" s="50"/>
      <c r="S60" s="50"/>
      <c r="T60" s="32" t="n">
        <v>0.06</v>
      </c>
      <c r="U60" s="33" t="n">
        <f aca="false">P60*T60</f>
        <v>60</v>
      </c>
      <c r="V60" s="33" t="n">
        <f aca="false">SUM(U60,(U60*0.05))</f>
        <v>63</v>
      </c>
      <c r="W60" s="34" t="n">
        <f aca="false">P60+Q60+R60+S60</f>
        <v>1000</v>
      </c>
      <c r="X60" s="34" t="n">
        <f aca="false">SUM(P60:S60)-V60</f>
        <v>937</v>
      </c>
      <c r="Y60" s="28"/>
    </row>
    <row r="61" customFormat="false" ht="22.5" hidden="false" customHeight="true" outlineLevel="0" collapsed="false">
      <c r="A61" s="35" t="n">
        <v>46160</v>
      </c>
      <c r="B61" s="36" t="s">
        <v>103</v>
      </c>
      <c r="C61" s="37" t="s">
        <v>258</v>
      </c>
      <c r="D61" s="37" t="s">
        <v>259</v>
      </c>
      <c r="E61" s="39" t="n">
        <v>106</v>
      </c>
      <c r="F61" s="40" t="s">
        <v>25</v>
      </c>
      <c r="G61" s="52"/>
      <c r="H61" s="40" t="s">
        <v>114</v>
      </c>
      <c r="I61" s="36" t="s">
        <v>108</v>
      </c>
      <c r="J61" s="72" t="s">
        <v>278</v>
      </c>
      <c r="K61" s="72" t="s">
        <v>279</v>
      </c>
      <c r="L61" s="72" t="s">
        <v>280</v>
      </c>
      <c r="M61" s="67" t="n">
        <v>46204</v>
      </c>
      <c r="N61" s="67" t="n">
        <v>46568</v>
      </c>
      <c r="O61" s="55" t="n">
        <v>300</v>
      </c>
      <c r="P61" s="55" t="n">
        <v>1000</v>
      </c>
      <c r="Q61" s="56"/>
      <c r="R61" s="56"/>
      <c r="S61" s="56"/>
      <c r="T61" s="57" t="n">
        <v>0.06</v>
      </c>
      <c r="U61" s="45" t="n">
        <f aca="false">P61*T61</f>
        <v>60</v>
      </c>
      <c r="V61" s="33" t="n">
        <f aca="false">SUM(U61,(U61*0.05))</f>
        <v>63</v>
      </c>
      <c r="W61" s="46" t="n">
        <f aca="false">P61+Q61+R61+S61</f>
        <v>1000</v>
      </c>
      <c r="X61" s="34" t="n">
        <f aca="false">SUM(P61:S61)-V61</f>
        <v>937</v>
      </c>
      <c r="Y61" s="42"/>
    </row>
    <row r="62" customFormat="false" ht="22.5" hidden="false" customHeight="true" outlineLevel="0" collapsed="false">
      <c r="A62" s="21" t="n">
        <v>46160</v>
      </c>
      <c r="B62" s="22" t="s">
        <v>103</v>
      </c>
      <c r="C62" s="23" t="s">
        <v>258</v>
      </c>
      <c r="D62" s="23" t="s">
        <v>259</v>
      </c>
      <c r="E62" s="25" t="n">
        <v>107</v>
      </c>
      <c r="F62" s="26" t="s">
        <v>25</v>
      </c>
      <c r="G62" s="47"/>
      <c r="H62" s="26" t="s">
        <v>114</v>
      </c>
      <c r="I62" s="22" t="s">
        <v>108</v>
      </c>
      <c r="J62" s="71" t="s">
        <v>281</v>
      </c>
      <c r="K62" s="71"/>
      <c r="L62" s="71" t="s">
        <v>282</v>
      </c>
      <c r="M62" s="49" t="n">
        <v>46204</v>
      </c>
      <c r="N62" s="49" t="n">
        <v>46568</v>
      </c>
      <c r="O62" s="30" t="n">
        <v>300</v>
      </c>
      <c r="P62" s="30" t="n">
        <v>800</v>
      </c>
      <c r="Q62" s="50"/>
      <c r="R62" s="50"/>
      <c r="S62" s="50"/>
      <c r="T62" s="32" t="n">
        <v>0.06</v>
      </c>
      <c r="U62" s="33" t="n">
        <f aca="false">P62*T62</f>
        <v>48</v>
      </c>
      <c r="V62" s="33" t="n">
        <f aca="false">SUM(U62,(U62*0.05))</f>
        <v>50.4</v>
      </c>
      <c r="W62" s="34" t="n">
        <f aca="false">P62+Q62+R62+S62</f>
        <v>800</v>
      </c>
      <c r="X62" s="34" t="n">
        <f aca="false">SUM(P62:S62)-V62</f>
        <v>749.6</v>
      </c>
      <c r="Y62" s="28"/>
    </row>
    <row r="63" customFormat="false" ht="22.5" hidden="false" customHeight="true" outlineLevel="0" collapsed="false">
      <c r="A63" s="35" t="n">
        <v>46160</v>
      </c>
      <c r="B63" s="36" t="s">
        <v>103</v>
      </c>
      <c r="C63" s="37" t="s">
        <v>258</v>
      </c>
      <c r="D63" s="37" t="s">
        <v>259</v>
      </c>
      <c r="E63" s="39" t="n">
        <v>108</v>
      </c>
      <c r="F63" s="40" t="s">
        <v>25</v>
      </c>
      <c r="G63" s="52"/>
      <c r="H63" s="40" t="s">
        <v>114</v>
      </c>
      <c r="I63" s="36" t="s">
        <v>108</v>
      </c>
      <c r="J63" s="72" t="s">
        <v>283</v>
      </c>
      <c r="K63" s="72" t="s">
        <v>284</v>
      </c>
      <c r="L63" s="72" t="s">
        <v>285</v>
      </c>
      <c r="M63" s="67" t="n">
        <v>46204</v>
      </c>
      <c r="N63" s="67" t="n">
        <v>46568</v>
      </c>
      <c r="O63" s="55" t="n">
        <v>300</v>
      </c>
      <c r="P63" s="55" t="n">
        <v>950</v>
      </c>
      <c r="Q63" s="56"/>
      <c r="R63" s="56"/>
      <c r="S63" s="56"/>
      <c r="T63" s="57" t="n">
        <v>0.06</v>
      </c>
      <c r="U63" s="45" t="n">
        <f aca="false">P63*T63</f>
        <v>57</v>
      </c>
      <c r="V63" s="33" t="n">
        <f aca="false">SUM(U63,(U63*0.05))</f>
        <v>59.85</v>
      </c>
      <c r="W63" s="46" t="n">
        <f aca="false">P63+Q63+R63+S63</f>
        <v>950</v>
      </c>
      <c r="X63" s="34" t="n">
        <f aca="false">SUM(P63:S63)-V63</f>
        <v>890.15</v>
      </c>
      <c r="Y63" s="42"/>
    </row>
    <row r="64" customFormat="false" ht="22.5" hidden="false" customHeight="true" outlineLevel="0" collapsed="false">
      <c r="A64" s="21" t="n">
        <v>46160</v>
      </c>
      <c r="B64" s="22" t="s">
        <v>103</v>
      </c>
      <c r="C64" s="23" t="s">
        <v>258</v>
      </c>
      <c r="D64" s="23" t="s">
        <v>259</v>
      </c>
      <c r="E64" s="25" t="n">
        <v>109</v>
      </c>
      <c r="F64" s="26" t="s">
        <v>25</v>
      </c>
      <c r="G64" s="47"/>
      <c r="H64" s="26" t="s">
        <v>114</v>
      </c>
      <c r="I64" s="22" t="s">
        <v>108</v>
      </c>
      <c r="J64" s="71" t="s">
        <v>286</v>
      </c>
      <c r="K64" s="71"/>
      <c r="L64" s="71" t="s">
        <v>287</v>
      </c>
      <c r="M64" s="49" t="n">
        <v>46204</v>
      </c>
      <c r="N64" s="49" t="n">
        <v>46568</v>
      </c>
      <c r="O64" s="30" t="n">
        <v>300</v>
      </c>
      <c r="P64" s="30" t="n">
        <v>1000</v>
      </c>
      <c r="Q64" s="50"/>
      <c r="R64" s="50"/>
      <c r="S64" s="50"/>
      <c r="T64" s="32" t="n">
        <v>0.06</v>
      </c>
      <c r="U64" s="33" t="n">
        <f aca="false">P64*T64</f>
        <v>60</v>
      </c>
      <c r="V64" s="33" t="n">
        <f aca="false">SUM(U64,(U64*0.05))</f>
        <v>63</v>
      </c>
      <c r="W64" s="34" t="n">
        <f aca="false">P64+Q64+R64+S64</f>
        <v>1000</v>
      </c>
      <c r="X64" s="34" t="n">
        <f aca="false">SUM(P64:S64)-V64</f>
        <v>937</v>
      </c>
      <c r="Y64" s="28"/>
    </row>
    <row r="65" customFormat="false" ht="22.5" hidden="false" customHeight="true" outlineLevel="0" collapsed="false">
      <c r="A65" s="35" t="n">
        <v>46160</v>
      </c>
      <c r="B65" s="36" t="s">
        <v>103</v>
      </c>
      <c r="C65" s="37" t="s">
        <v>258</v>
      </c>
      <c r="D65" s="37" t="s">
        <v>259</v>
      </c>
      <c r="E65" s="39" t="n">
        <v>201</v>
      </c>
      <c r="F65" s="40" t="s">
        <v>25</v>
      </c>
      <c r="G65" s="52"/>
      <c r="H65" s="40" t="s">
        <v>114</v>
      </c>
      <c r="I65" s="36" t="s">
        <v>108</v>
      </c>
      <c r="J65" s="72" t="s">
        <v>288</v>
      </c>
      <c r="K65" s="72" t="s">
        <v>289</v>
      </c>
      <c r="L65" s="72" t="s">
        <v>290</v>
      </c>
      <c r="M65" s="67" t="n">
        <v>46204</v>
      </c>
      <c r="N65" s="67" t="n">
        <v>46568</v>
      </c>
      <c r="O65" s="55" t="n">
        <v>300</v>
      </c>
      <c r="P65" s="55" t="n">
        <v>1200</v>
      </c>
      <c r="Q65" s="56"/>
      <c r="R65" s="56"/>
      <c r="S65" s="56"/>
      <c r="T65" s="57" t="n">
        <v>0.06</v>
      </c>
      <c r="U65" s="45" t="n">
        <f aca="false">P65*T65</f>
        <v>72</v>
      </c>
      <c r="V65" s="33" t="n">
        <f aca="false">SUM(U65,(U65*0.05))</f>
        <v>75.6</v>
      </c>
      <c r="W65" s="46" t="n">
        <f aca="false">P65+Q65+R65+S65</f>
        <v>1200</v>
      </c>
      <c r="X65" s="34" t="n">
        <f aca="false">SUM(P65:S65)-V65</f>
        <v>1124.4</v>
      </c>
      <c r="Y65" s="42"/>
    </row>
    <row r="66" customFormat="false" ht="22.5" hidden="false" customHeight="true" outlineLevel="0" collapsed="false">
      <c r="A66" s="21" t="n">
        <v>46160</v>
      </c>
      <c r="B66" s="22" t="s">
        <v>103</v>
      </c>
      <c r="C66" s="23" t="s">
        <v>258</v>
      </c>
      <c r="D66" s="23" t="s">
        <v>259</v>
      </c>
      <c r="E66" s="25" t="n">
        <v>202</v>
      </c>
      <c r="F66" s="26" t="s">
        <v>25</v>
      </c>
      <c r="G66" s="47"/>
      <c r="H66" s="26" t="s">
        <v>114</v>
      </c>
      <c r="I66" s="22" t="s">
        <v>108</v>
      </c>
      <c r="J66" s="71" t="s">
        <v>291</v>
      </c>
      <c r="K66" s="71" t="s">
        <v>292</v>
      </c>
      <c r="L66" s="71" t="s">
        <v>293</v>
      </c>
      <c r="M66" s="49" t="n">
        <v>46204</v>
      </c>
      <c r="N66" s="49" t="n">
        <v>46568</v>
      </c>
      <c r="O66" s="30" t="n">
        <v>300</v>
      </c>
      <c r="P66" s="30" t="n">
        <v>1200</v>
      </c>
      <c r="Q66" s="50"/>
      <c r="R66" s="50"/>
      <c r="S66" s="50"/>
      <c r="T66" s="32" t="n">
        <v>0.06</v>
      </c>
      <c r="U66" s="33" t="n">
        <f aca="false">P66*T66</f>
        <v>72</v>
      </c>
      <c r="V66" s="33" t="n">
        <f aca="false">SUM(U66,(U66*0.05))</f>
        <v>75.6</v>
      </c>
      <c r="W66" s="34" t="n">
        <f aca="false">P66+Q66+R66+S66</f>
        <v>1200</v>
      </c>
      <c r="X66" s="34" t="n">
        <f aca="false">SUM(P66:S66)-V66</f>
        <v>1124.4</v>
      </c>
      <c r="Y66" s="28"/>
    </row>
    <row r="67" customFormat="false" ht="22.5" hidden="false" customHeight="true" outlineLevel="0" collapsed="false">
      <c r="A67" s="35" t="n">
        <v>46160</v>
      </c>
      <c r="B67" s="36" t="s">
        <v>103</v>
      </c>
      <c r="C67" s="37" t="s">
        <v>258</v>
      </c>
      <c r="D67" s="37" t="s">
        <v>259</v>
      </c>
      <c r="E67" s="39" t="n">
        <v>203</v>
      </c>
      <c r="F67" s="40" t="s">
        <v>25</v>
      </c>
      <c r="G67" s="52"/>
      <c r="H67" s="40" t="s">
        <v>114</v>
      </c>
      <c r="I67" s="36" t="s">
        <v>108</v>
      </c>
      <c r="J67" s="72" t="s">
        <v>294</v>
      </c>
      <c r="K67" s="72"/>
      <c r="L67" s="72" t="s">
        <v>295</v>
      </c>
      <c r="M67" s="67" t="n">
        <v>46204</v>
      </c>
      <c r="N67" s="67" t="n">
        <v>46568</v>
      </c>
      <c r="O67" s="55" t="n">
        <v>300</v>
      </c>
      <c r="P67" s="55" t="n">
        <v>1200</v>
      </c>
      <c r="Q67" s="56"/>
      <c r="R67" s="56"/>
      <c r="S67" s="56"/>
      <c r="T67" s="57" t="n">
        <v>0.06</v>
      </c>
      <c r="U67" s="45" t="n">
        <f aca="false">P67*T67</f>
        <v>72</v>
      </c>
      <c r="V67" s="33" t="n">
        <f aca="false">SUM(U67,(U67*0.05))</f>
        <v>75.6</v>
      </c>
      <c r="W67" s="46" t="n">
        <f aca="false">P67+Q67+R67+S67</f>
        <v>1200</v>
      </c>
      <c r="X67" s="34" t="n">
        <f aca="false">SUM(P67:S67)-V67</f>
        <v>1124.4</v>
      </c>
      <c r="Y67" s="42"/>
    </row>
    <row r="68" customFormat="false" ht="22.5" hidden="false" customHeight="true" outlineLevel="0" collapsed="false">
      <c r="A68" s="21" t="n">
        <v>46160</v>
      </c>
      <c r="B68" s="22" t="s">
        <v>103</v>
      </c>
      <c r="C68" s="23" t="s">
        <v>258</v>
      </c>
      <c r="D68" s="23" t="s">
        <v>259</v>
      </c>
      <c r="E68" s="25" t="n">
        <v>204</v>
      </c>
      <c r="F68" s="26" t="s">
        <v>25</v>
      </c>
      <c r="G68" s="47"/>
      <c r="H68" s="26" t="s">
        <v>114</v>
      </c>
      <c r="I68" s="22" t="s">
        <v>108</v>
      </c>
      <c r="J68" s="71" t="s">
        <v>296</v>
      </c>
      <c r="K68" s="71" t="s">
        <v>297</v>
      </c>
      <c r="L68" s="71"/>
      <c r="M68" s="49" t="n">
        <v>46204</v>
      </c>
      <c r="N68" s="49" t="n">
        <v>46568</v>
      </c>
      <c r="O68" s="30" t="n">
        <v>300</v>
      </c>
      <c r="P68" s="30" t="n">
        <v>900</v>
      </c>
      <c r="Q68" s="50"/>
      <c r="R68" s="50"/>
      <c r="S68" s="50"/>
      <c r="T68" s="32" t="n">
        <v>0.06</v>
      </c>
      <c r="U68" s="33" t="n">
        <f aca="false">P68*T68</f>
        <v>54</v>
      </c>
      <c r="V68" s="33" t="n">
        <f aca="false">SUM(U68,(U68*0.05))</f>
        <v>56.7</v>
      </c>
      <c r="W68" s="34" t="n">
        <f aca="false">P68+Q68+R68+S68</f>
        <v>900</v>
      </c>
      <c r="X68" s="34" t="n">
        <f aca="false">SUM(P68:S68)-V68</f>
        <v>843.3</v>
      </c>
      <c r="Y68" s="28"/>
    </row>
    <row r="69" customFormat="false" ht="22.5" hidden="false" customHeight="true" outlineLevel="0" collapsed="false">
      <c r="A69" s="35" t="n">
        <v>46160</v>
      </c>
      <c r="B69" s="36" t="s">
        <v>103</v>
      </c>
      <c r="C69" s="37" t="s">
        <v>258</v>
      </c>
      <c r="D69" s="38" t="s">
        <v>259</v>
      </c>
      <c r="E69" s="39" t="n">
        <v>205</v>
      </c>
      <c r="F69" s="40" t="s">
        <v>25</v>
      </c>
      <c r="G69" s="41"/>
      <c r="H69" s="36" t="s">
        <v>107</v>
      </c>
      <c r="I69" s="36" t="s">
        <v>108</v>
      </c>
      <c r="J69" s="42"/>
      <c r="K69" s="42"/>
      <c r="L69" s="42"/>
      <c r="M69" s="43"/>
      <c r="N69" s="41"/>
      <c r="O69" s="55" t="n">
        <v>300</v>
      </c>
      <c r="P69" s="44"/>
      <c r="Q69" s="44"/>
      <c r="R69" s="44"/>
      <c r="S69" s="44"/>
      <c r="T69" s="57" t="n">
        <v>0.06</v>
      </c>
      <c r="U69" s="45" t="n">
        <f aca="false">P69*T69</f>
        <v>0</v>
      </c>
      <c r="V69" s="45"/>
      <c r="W69" s="46" t="n">
        <f aca="false">P69+Q69+R69+S69</f>
        <v>0</v>
      </c>
      <c r="X69" s="46" t="n">
        <f aca="false">SUM(P69:S69)-U69</f>
        <v>0</v>
      </c>
      <c r="Y69" s="42"/>
    </row>
    <row r="70" customFormat="false" ht="22.5" hidden="false" customHeight="true" outlineLevel="0" collapsed="false">
      <c r="A70" s="21" t="n">
        <v>46160</v>
      </c>
      <c r="B70" s="22" t="s">
        <v>103</v>
      </c>
      <c r="C70" s="23" t="s">
        <v>258</v>
      </c>
      <c r="D70" s="23" t="s">
        <v>259</v>
      </c>
      <c r="E70" s="25" t="n">
        <v>206</v>
      </c>
      <c r="F70" s="26" t="s">
        <v>25</v>
      </c>
      <c r="G70" s="47"/>
      <c r="H70" s="26" t="s">
        <v>114</v>
      </c>
      <c r="I70" s="22" t="s">
        <v>108</v>
      </c>
      <c r="J70" s="72" t="s">
        <v>298</v>
      </c>
      <c r="K70" s="72" t="s">
        <v>299</v>
      </c>
      <c r="L70" s="72" t="s">
        <v>300</v>
      </c>
      <c r="M70" s="67" t="n">
        <v>46204</v>
      </c>
      <c r="N70" s="67" t="n">
        <v>46568</v>
      </c>
      <c r="O70" s="30" t="n">
        <v>300</v>
      </c>
      <c r="P70" s="30" t="n">
        <v>1100</v>
      </c>
      <c r="Q70" s="50"/>
      <c r="R70" s="50"/>
      <c r="S70" s="50"/>
      <c r="T70" s="32" t="n">
        <v>0.06</v>
      </c>
      <c r="U70" s="33" t="n">
        <f aca="false">P70*T70</f>
        <v>66</v>
      </c>
      <c r="V70" s="33" t="n">
        <f aca="false">SUM(U70,(U70*0.05))</f>
        <v>69.3</v>
      </c>
      <c r="W70" s="34" t="n">
        <f aca="false">P70+Q70+R70+S70</f>
        <v>1100</v>
      </c>
      <c r="X70" s="34" t="n">
        <f aca="false">SUM(P70:S70)-V70</f>
        <v>1030.7</v>
      </c>
      <c r="Y70" s="28"/>
    </row>
    <row r="71" customFormat="false" ht="22.5" hidden="false" customHeight="true" outlineLevel="0" collapsed="false">
      <c r="A71" s="35" t="n">
        <v>46160</v>
      </c>
      <c r="B71" s="36" t="s">
        <v>103</v>
      </c>
      <c r="C71" s="37" t="s">
        <v>258</v>
      </c>
      <c r="D71" s="37" t="s">
        <v>259</v>
      </c>
      <c r="E71" s="39" t="n">
        <v>301</v>
      </c>
      <c r="F71" s="40" t="s">
        <v>25</v>
      </c>
      <c r="G71" s="52"/>
      <c r="H71" s="40" t="s">
        <v>114</v>
      </c>
      <c r="I71" s="36" t="s">
        <v>108</v>
      </c>
      <c r="J71" s="71" t="s">
        <v>301</v>
      </c>
      <c r="K71" s="71" t="s">
        <v>302</v>
      </c>
      <c r="L71" s="71" t="s">
        <v>303</v>
      </c>
      <c r="M71" s="49" t="n">
        <v>46204</v>
      </c>
      <c r="N71" s="49" t="n">
        <v>46568</v>
      </c>
      <c r="O71" s="55" t="n">
        <v>300</v>
      </c>
      <c r="P71" s="55" t="n">
        <v>900</v>
      </c>
      <c r="Q71" s="56"/>
      <c r="R71" s="56"/>
      <c r="S71" s="56"/>
      <c r="T71" s="57" t="n">
        <v>0.06</v>
      </c>
      <c r="U71" s="45" t="n">
        <f aca="false">P71*T71</f>
        <v>54</v>
      </c>
      <c r="V71" s="33" t="n">
        <f aca="false">SUM(U71,(U71*0.05))</f>
        <v>56.7</v>
      </c>
      <c r="W71" s="46" t="n">
        <f aca="false">P71+Q71+R71+S71</f>
        <v>900</v>
      </c>
      <c r="X71" s="34" t="n">
        <f aca="false">SUM(P71:S71)-V71</f>
        <v>843.3</v>
      </c>
      <c r="Y71" s="42"/>
    </row>
    <row r="72" customFormat="false" ht="22.5" hidden="false" customHeight="true" outlineLevel="0" collapsed="false">
      <c r="A72" s="21" t="n">
        <v>46160</v>
      </c>
      <c r="B72" s="22" t="s">
        <v>103</v>
      </c>
      <c r="C72" s="23" t="s">
        <v>258</v>
      </c>
      <c r="D72" s="23" t="s">
        <v>259</v>
      </c>
      <c r="E72" s="25" t="n">
        <v>302</v>
      </c>
      <c r="F72" s="26" t="s">
        <v>25</v>
      </c>
      <c r="G72" s="47"/>
      <c r="H72" s="26" t="s">
        <v>114</v>
      </c>
      <c r="I72" s="22" t="s">
        <v>108</v>
      </c>
      <c r="J72" s="72" t="s">
        <v>304</v>
      </c>
      <c r="K72" s="72" t="s">
        <v>305</v>
      </c>
      <c r="L72" s="72" t="s">
        <v>306</v>
      </c>
      <c r="M72" s="67" t="n">
        <v>46204</v>
      </c>
      <c r="N72" s="67" t="n">
        <v>46568</v>
      </c>
      <c r="O72" s="30" t="n">
        <v>300</v>
      </c>
      <c r="P72" s="30" t="n">
        <v>1200</v>
      </c>
      <c r="Q72" s="50"/>
      <c r="R72" s="50"/>
      <c r="S72" s="50"/>
      <c r="T72" s="32" t="n">
        <v>0.06</v>
      </c>
      <c r="U72" s="33" t="n">
        <f aca="false">P72*T72</f>
        <v>72</v>
      </c>
      <c r="V72" s="33" t="n">
        <f aca="false">SUM(U72,(U72*0.05))</f>
        <v>75.6</v>
      </c>
      <c r="W72" s="34" t="n">
        <f aca="false">P72+Q72+R72+S72</f>
        <v>1200</v>
      </c>
      <c r="X72" s="34" t="n">
        <f aca="false">SUM(P72:S72)-V72</f>
        <v>1124.4</v>
      </c>
      <c r="Y72" s="28"/>
    </row>
    <row r="73" customFormat="false" ht="22.5" hidden="false" customHeight="true" outlineLevel="0" collapsed="false">
      <c r="A73" s="35" t="n">
        <v>46160</v>
      </c>
      <c r="B73" s="36" t="s">
        <v>103</v>
      </c>
      <c r="C73" s="37" t="s">
        <v>258</v>
      </c>
      <c r="D73" s="37" t="s">
        <v>259</v>
      </c>
      <c r="E73" s="39" t="n">
        <v>303</v>
      </c>
      <c r="F73" s="40" t="s">
        <v>25</v>
      </c>
      <c r="G73" s="52"/>
      <c r="H73" s="40" t="s">
        <v>114</v>
      </c>
      <c r="I73" s="36" t="s">
        <v>108</v>
      </c>
      <c r="J73" s="71" t="s">
        <v>307</v>
      </c>
      <c r="K73" s="71" t="s">
        <v>308</v>
      </c>
      <c r="L73" s="71" t="s">
        <v>309</v>
      </c>
      <c r="M73" s="49" t="n">
        <v>46204</v>
      </c>
      <c r="N73" s="49" t="n">
        <v>46568</v>
      </c>
      <c r="O73" s="55" t="n">
        <v>300</v>
      </c>
      <c r="P73" s="55" t="n">
        <v>1200</v>
      </c>
      <c r="Q73" s="56"/>
      <c r="R73" s="56"/>
      <c r="S73" s="56"/>
      <c r="T73" s="57" t="n">
        <v>0.06</v>
      </c>
      <c r="U73" s="45" t="n">
        <f aca="false">P73*T73</f>
        <v>72</v>
      </c>
      <c r="V73" s="33" t="n">
        <f aca="false">SUM(U73,(U73*0.05))</f>
        <v>75.6</v>
      </c>
      <c r="W73" s="46" t="n">
        <f aca="false">P73+Q73+R73+S73</f>
        <v>1200</v>
      </c>
      <c r="X73" s="34" t="n">
        <f aca="false">SUM(P73:S73)-V73</f>
        <v>1124.4</v>
      </c>
      <c r="Y73" s="42"/>
    </row>
    <row r="74" customFormat="false" ht="22.5" hidden="false" customHeight="true" outlineLevel="0" collapsed="false">
      <c r="A74" s="21" t="n">
        <v>46160</v>
      </c>
      <c r="B74" s="22" t="s">
        <v>103</v>
      </c>
      <c r="C74" s="23" t="s">
        <v>258</v>
      </c>
      <c r="D74" s="23" t="s">
        <v>259</v>
      </c>
      <c r="E74" s="25" t="n">
        <v>304</v>
      </c>
      <c r="F74" s="26" t="s">
        <v>25</v>
      </c>
      <c r="G74" s="47"/>
      <c r="H74" s="26" t="s">
        <v>114</v>
      </c>
      <c r="I74" s="22" t="s">
        <v>108</v>
      </c>
      <c r="J74" s="72" t="s">
        <v>310</v>
      </c>
      <c r="K74" s="72"/>
      <c r="L74" s="72" t="s">
        <v>311</v>
      </c>
      <c r="M74" s="67" t="n">
        <v>46204</v>
      </c>
      <c r="N74" s="67" t="n">
        <v>46568</v>
      </c>
      <c r="O74" s="30" t="n">
        <v>300</v>
      </c>
      <c r="P74" s="30" t="n">
        <v>1200</v>
      </c>
      <c r="Q74" s="50"/>
      <c r="R74" s="50"/>
      <c r="S74" s="50"/>
      <c r="T74" s="32" t="n">
        <v>0.06</v>
      </c>
      <c r="U74" s="33" t="n">
        <f aca="false">P74*T74</f>
        <v>72</v>
      </c>
      <c r="V74" s="33" t="n">
        <f aca="false">SUM(U74,(U74*0.05))</f>
        <v>75.6</v>
      </c>
      <c r="W74" s="34" t="n">
        <f aca="false">P74+Q74+R74+S74</f>
        <v>1200</v>
      </c>
      <c r="X74" s="34" t="n">
        <f aca="false">SUM(P74:S74)-V74</f>
        <v>1124.4</v>
      </c>
      <c r="Y74" s="28"/>
    </row>
    <row r="75" customFormat="false" ht="22.5" hidden="false" customHeight="true" outlineLevel="0" collapsed="false">
      <c r="A75" s="35" t="n">
        <v>46160</v>
      </c>
      <c r="B75" s="36" t="s">
        <v>103</v>
      </c>
      <c r="C75" s="37" t="s">
        <v>258</v>
      </c>
      <c r="D75" s="37" t="s">
        <v>259</v>
      </c>
      <c r="E75" s="39" t="n">
        <v>305</v>
      </c>
      <c r="F75" s="40" t="s">
        <v>25</v>
      </c>
      <c r="G75" s="52"/>
      <c r="H75" s="40" t="s">
        <v>114</v>
      </c>
      <c r="I75" s="36" t="s">
        <v>108</v>
      </c>
      <c r="J75" s="71" t="s">
        <v>312</v>
      </c>
      <c r="K75" s="71" t="s">
        <v>313</v>
      </c>
      <c r="L75" s="71" t="s">
        <v>314</v>
      </c>
      <c r="M75" s="49" t="n">
        <v>46204</v>
      </c>
      <c r="N75" s="49" t="n">
        <v>46568</v>
      </c>
      <c r="O75" s="55" t="n">
        <v>300</v>
      </c>
      <c r="P75" s="55" t="n">
        <v>1200</v>
      </c>
      <c r="Q75" s="56"/>
      <c r="R75" s="56"/>
      <c r="S75" s="56"/>
      <c r="T75" s="57" t="n">
        <v>0.06</v>
      </c>
      <c r="U75" s="45" t="n">
        <f aca="false">P75*T75</f>
        <v>72</v>
      </c>
      <c r="V75" s="33" t="n">
        <f aca="false">SUM(U75,(U75*0.05))</f>
        <v>75.6</v>
      </c>
      <c r="W75" s="46" t="n">
        <f aca="false">P75+Q75+R75+S75</f>
        <v>1200</v>
      </c>
      <c r="X75" s="34" t="n">
        <f aca="false">SUM(P75:S75)-V75</f>
        <v>1124.4</v>
      </c>
      <c r="Y75" s="42"/>
    </row>
    <row r="76" customFormat="false" ht="22.5" hidden="false" customHeight="true" outlineLevel="0" collapsed="false">
      <c r="A76" s="21" t="n">
        <v>46160</v>
      </c>
      <c r="B76" s="22" t="s">
        <v>103</v>
      </c>
      <c r="C76" s="23" t="s">
        <v>258</v>
      </c>
      <c r="D76" s="23" t="s">
        <v>259</v>
      </c>
      <c r="E76" s="25" t="n">
        <v>306</v>
      </c>
      <c r="F76" s="26" t="s">
        <v>25</v>
      </c>
      <c r="G76" s="47"/>
      <c r="H76" s="26" t="s">
        <v>114</v>
      </c>
      <c r="I76" s="22" t="s">
        <v>108</v>
      </c>
      <c r="J76" s="72" t="s">
        <v>315</v>
      </c>
      <c r="K76" s="72" t="s">
        <v>316</v>
      </c>
      <c r="L76" s="72" t="s">
        <v>317</v>
      </c>
      <c r="M76" s="67" t="n">
        <v>46204</v>
      </c>
      <c r="N76" s="67" t="n">
        <v>46568</v>
      </c>
      <c r="O76" s="30" t="n">
        <v>300</v>
      </c>
      <c r="P76" s="30" t="n">
        <v>800</v>
      </c>
      <c r="Q76" s="50"/>
      <c r="R76" s="50"/>
      <c r="S76" s="50"/>
      <c r="T76" s="32" t="n">
        <v>0.06</v>
      </c>
      <c r="U76" s="33" t="n">
        <f aca="false">P76*T76</f>
        <v>48</v>
      </c>
      <c r="V76" s="33" t="n">
        <f aca="false">SUM(U76,(U76*0.05))</f>
        <v>50.4</v>
      </c>
      <c r="W76" s="34" t="n">
        <f aca="false">P76+Q76+R76+S76</f>
        <v>800</v>
      </c>
      <c r="X76" s="34" t="n">
        <f aca="false">SUM(P76:S76)-V76</f>
        <v>749.6</v>
      </c>
      <c r="Y76" s="28"/>
    </row>
    <row r="77" customFormat="false" ht="22.5" hidden="false" customHeight="true" outlineLevel="0" collapsed="false">
      <c r="A77" s="35" t="n">
        <v>46181</v>
      </c>
      <c r="B77" s="36" t="s">
        <v>103</v>
      </c>
      <c r="C77" s="37" t="s">
        <v>318</v>
      </c>
      <c r="D77" s="38" t="s">
        <v>319</v>
      </c>
      <c r="E77" s="39" t="s">
        <v>320</v>
      </c>
      <c r="F77" s="51" t="s">
        <v>28</v>
      </c>
      <c r="G77" s="41"/>
      <c r="H77" s="36" t="s">
        <v>107</v>
      </c>
      <c r="I77" s="36" t="s">
        <v>108</v>
      </c>
      <c r="J77" s="42"/>
      <c r="K77" s="42"/>
      <c r="L77" s="42"/>
      <c r="M77" s="43"/>
      <c r="N77" s="41"/>
      <c r="O77" s="30" t="n">
        <v>799</v>
      </c>
      <c r="P77" s="44"/>
      <c r="Q77" s="44"/>
      <c r="R77" s="44"/>
      <c r="S77" s="44"/>
      <c r="T77" s="32" t="n">
        <v>0.08</v>
      </c>
      <c r="U77" s="45" t="n">
        <f aca="false">P77*T77</f>
        <v>0</v>
      </c>
      <c r="V77" s="45"/>
      <c r="W77" s="46" t="n">
        <f aca="false">P77+Q77+R77+S77</f>
        <v>0</v>
      </c>
      <c r="X77" s="46" t="n">
        <f aca="false">SUM(P77:S77)-U77</f>
        <v>0</v>
      </c>
      <c r="Y77" s="42"/>
    </row>
    <row r="78" customFormat="false" ht="22.5" hidden="false" customHeight="true" outlineLevel="0" collapsed="false">
      <c r="A78" s="21" t="n">
        <v>46045</v>
      </c>
      <c r="B78" s="22" t="s">
        <v>103</v>
      </c>
      <c r="C78" s="23" t="s">
        <v>321</v>
      </c>
      <c r="D78" s="23" t="s">
        <v>322</v>
      </c>
      <c r="E78" s="25" t="s">
        <v>320</v>
      </c>
      <c r="F78" s="73" t="s">
        <v>30</v>
      </c>
      <c r="G78" s="47"/>
      <c r="H78" s="26" t="s">
        <v>114</v>
      </c>
      <c r="I78" s="22" t="s">
        <v>108</v>
      </c>
      <c r="J78" s="28" t="s">
        <v>323</v>
      </c>
      <c r="K78" s="28" t="s">
        <v>324</v>
      </c>
      <c r="L78" s="28" t="s">
        <v>325</v>
      </c>
      <c r="M78" s="54" t="n">
        <v>45717</v>
      </c>
      <c r="N78" s="54" t="n">
        <v>46203</v>
      </c>
      <c r="O78" s="74"/>
      <c r="P78" s="30" t="n">
        <v>1650</v>
      </c>
      <c r="Q78" s="50"/>
      <c r="R78" s="50"/>
      <c r="S78" s="50"/>
      <c r="T78" s="32" t="n">
        <v>0.1</v>
      </c>
      <c r="U78" s="33" t="n">
        <f aca="false">P78*T78</f>
        <v>165</v>
      </c>
      <c r="V78" s="33" t="n">
        <f aca="false">SUM(U78,(U78*0.05))</f>
        <v>173.25</v>
      </c>
      <c r="W78" s="34" t="n">
        <f aca="false">P78+Q78+R78+S78</f>
        <v>1650</v>
      </c>
      <c r="X78" s="34" t="n">
        <f aca="false">SUM(P78:S78)-V78</f>
        <v>1476.75</v>
      </c>
      <c r="Y78" s="28"/>
    </row>
    <row r="79" customFormat="false" ht="22.5" hidden="false" customHeight="true" outlineLevel="0" collapsed="false">
      <c r="A79" s="35" t="n">
        <v>46002</v>
      </c>
      <c r="B79" s="36" t="s">
        <v>103</v>
      </c>
      <c r="C79" s="37" t="s">
        <v>321</v>
      </c>
      <c r="D79" s="37" t="s">
        <v>326</v>
      </c>
      <c r="E79" s="39" t="s">
        <v>320</v>
      </c>
      <c r="F79" s="75" t="s">
        <v>30</v>
      </c>
      <c r="G79" s="52"/>
      <c r="H79" s="40" t="s">
        <v>114</v>
      </c>
      <c r="I79" s="36" t="s">
        <v>108</v>
      </c>
      <c r="J79" s="42" t="s">
        <v>327</v>
      </c>
      <c r="K79" s="42" t="s">
        <v>328</v>
      </c>
      <c r="L79" s="42" t="s">
        <v>329</v>
      </c>
      <c r="M79" s="59" t="n">
        <v>46023</v>
      </c>
      <c r="N79" s="62" t="n">
        <v>46538</v>
      </c>
      <c r="O79" s="74"/>
      <c r="P79" s="55" t="n">
        <v>1490</v>
      </c>
      <c r="Q79" s="56"/>
      <c r="R79" s="55" t="n">
        <v>80</v>
      </c>
      <c r="S79" s="56"/>
      <c r="T79" s="57" t="n">
        <v>0.1</v>
      </c>
      <c r="U79" s="45" t="n">
        <f aca="false">P79*T79</f>
        <v>149</v>
      </c>
      <c r="V79" s="33" t="n">
        <f aca="false">SUM(U79,(U79*0.05))</f>
        <v>156.45</v>
      </c>
      <c r="W79" s="46" t="n">
        <f aca="false">P79+Q79+R79+S79</f>
        <v>1570</v>
      </c>
      <c r="X79" s="34" t="n">
        <f aca="false">SUM(P79:S79)-V79</f>
        <v>1413.55</v>
      </c>
      <c r="Y79" s="42" t="s">
        <v>330</v>
      </c>
    </row>
    <row r="80" customFormat="false" ht="22.5" hidden="false" customHeight="true" outlineLevel="0" collapsed="false">
      <c r="A80" s="47" t="s">
        <v>331</v>
      </c>
      <c r="B80" s="22" t="s">
        <v>103</v>
      </c>
      <c r="C80" s="23" t="s">
        <v>332</v>
      </c>
      <c r="D80" s="23" t="s">
        <v>333</v>
      </c>
      <c r="E80" s="25" t="s">
        <v>320</v>
      </c>
      <c r="F80" s="76" t="s">
        <v>28</v>
      </c>
      <c r="G80" s="47"/>
      <c r="H80" s="26" t="s">
        <v>114</v>
      </c>
      <c r="I80" s="22" t="s">
        <v>108</v>
      </c>
      <c r="J80" s="48" t="s">
        <v>334</v>
      </c>
      <c r="K80" s="48" t="s">
        <v>335</v>
      </c>
      <c r="L80" s="28" t="s">
        <v>336</v>
      </c>
      <c r="M80" s="54" t="n">
        <v>45962</v>
      </c>
      <c r="N80" s="54" t="n">
        <v>46326</v>
      </c>
      <c r="O80" s="30" t="n">
        <v>350</v>
      </c>
      <c r="P80" s="30" t="n">
        <v>2580</v>
      </c>
      <c r="Q80" s="50"/>
      <c r="R80" s="50"/>
      <c r="S80" s="50"/>
      <c r="T80" s="32" t="n">
        <v>0.07</v>
      </c>
      <c r="U80" s="33" t="n">
        <f aca="false">P80*T80</f>
        <v>180.6</v>
      </c>
      <c r="V80" s="33" t="n">
        <f aca="false">SUM(U80,(U80*0.05))</f>
        <v>189.63</v>
      </c>
      <c r="W80" s="34" t="n">
        <f aca="false">P80+Q80+R80+S80</f>
        <v>2580</v>
      </c>
      <c r="X80" s="34" t="n">
        <f aca="false">SUM(P80:S80)-V80</f>
        <v>2390.37</v>
      </c>
      <c r="Y80" s="28"/>
    </row>
    <row r="81" customFormat="false" ht="22.5" hidden="false" customHeight="true" outlineLevel="0" collapsed="false">
      <c r="A81" s="35" t="n">
        <v>46154</v>
      </c>
      <c r="B81" s="36" t="s">
        <v>103</v>
      </c>
      <c r="C81" s="37" t="s">
        <v>337</v>
      </c>
      <c r="D81" s="38" t="s">
        <v>338</v>
      </c>
      <c r="E81" s="39" t="s">
        <v>320</v>
      </c>
      <c r="F81" s="77" t="s">
        <v>31</v>
      </c>
      <c r="G81" s="41"/>
      <c r="H81" s="36" t="s">
        <v>107</v>
      </c>
      <c r="I81" s="36" t="s">
        <v>108</v>
      </c>
      <c r="J81" s="42"/>
      <c r="K81" s="42"/>
      <c r="L81" s="42"/>
      <c r="M81" s="43"/>
      <c r="N81" s="41"/>
      <c r="O81" s="30" t="n">
        <v>1000</v>
      </c>
      <c r="P81" s="44"/>
      <c r="Q81" s="44"/>
      <c r="R81" s="44"/>
      <c r="S81" s="44"/>
      <c r="T81" s="32" t="n">
        <v>0.08</v>
      </c>
      <c r="U81" s="45" t="n">
        <f aca="false">P81*T81</f>
        <v>0</v>
      </c>
      <c r="V81" s="45"/>
      <c r="W81" s="46" t="n">
        <f aca="false">P81+Q81+R81+S81</f>
        <v>0</v>
      </c>
      <c r="X81" s="46" t="n">
        <f aca="false">SUM(P81:S81)-U81</f>
        <v>0</v>
      </c>
      <c r="Y81" s="42"/>
    </row>
    <row r="82" customFormat="false" ht="22.5" hidden="false" customHeight="true" outlineLevel="0" collapsed="false">
      <c r="A82" s="78" t="n">
        <v>45997</v>
      </c>
      <c r="B82" s="22" t="s">
        <v>103</v>
      </c>
      <c r="C82" s="79" t="s">
        <v>339</v>
      </c>
      <c r="D82" s="80" t="s">
        <v>340</v>
      </c>
      <c r="E82" s="81"/>
      <c r="F82" s="82" t="s">
        <v>31</v>
      </c>
      <c r="G82" s="83"/>
      <c r="H82" s="22" t="s">
        <v>107</v>
      </c>
      <c r="I82" s="76" t="s">
        <v>341</v>
      </c>
      <c r="J82" s="84"/>
      <c r="K82" s="84"/>
      <c r="L82" s="84"/>
      <c r="M82" s="85"/>
      <c r="N82" s="83"/>
      <c r="O82" s="86"/>
      <c r="P82" s="86"/>
      <c r="Q82" s="86"/>
      <c r="R82" s="86"/>
      <c r="S82" s="86"/>
      <c r="T82" s="87"/>
      <c r="U82" s="88" t="n">
        <f aca="false">P82*T82</f>
        <v>0</v>
      </c>
      <c r="V82" s="88"/>
      <c r="W82" s="89" t="n">
        <f aca="false">P82+Q82+R82+S82</f>
        <v>0</v>
      </c>
      <c r="X82" s="89" t="n">
        <f aca="false">SUM(P82:S82)-U82</f>
        <v>0</v>
      </c>
      <c r="Y82" s="84"/>
    </row>
    <row r="83" customFormat="false" ht="22.5" hidden="false" customHeight="true" outlineLevel="0" collapsed="false">
      <c r="A83" s="78" t="n">
        <v>46114</v>
      </c>
      <c r="B83" s="36" t="s">
        <v>103</v>
      </c>
      <c r="C83" s="90" t="s">
        <v>342</v>
      </c>
      <c r="D83" s="80" t="s">
        <v>343</v>
      </c>
      <c r="E83" s="91" t="s">
        <v>320</v>
      </c>
      <c r="F83" s="51" t="s">
        <v>32</v>
      </c>
      <c r="G83" s="83"/>
      <c r="H83" s="40" t="s">
        <v>114</v>
      </c>
      <c r="I83" s="92" t="s">
        <v>341</v>
      </c>
      <c r="J83" s="84"/>
      <c r="K83" s="84"/>
      <c r="L83" s="84"/>
      <c r="M83" s="85"/>
      <c r="N83" s="83"/>
      <c r="O83" s="93"/>
      <c r="P83" s="93"/>
      <c r="Q83" s="93"/>
      <c r="R83" s="93"/>
      <c r="S83" s="86"/>
      <c r="T83" s="87"/>
      <c r="U83" s="88" t="n">
        <f aca="false">P83*T83</f>
        <v>0</v>
      </c>
      <c r="V83" s="88"/>
      <c r="W83" s="89" t="n">
        <f aca="false">P83+Q83+R83+S83</f>
        <v>0</v>
      </c>
      <c r="X83" s="89" t="n">
        <f aca="false">SUM(P83:S83)-U83</f>
        <v>0</v>
      </c>
      <c r="Y83" s="84"/>
    </row>
    <row r="84" customFormat="false" ht="22.5" hidden="false" customHeight="true" outlineLevel="0" collapsed="false">
      <c r="A84" s="47" t="s">
        <v>331</v>
      </c>
      <c r="B84" s="22" t="s">
        <v>103</v>
      </c>
      <c r="C84" s="94" t="s">
        <v>344</v>
      </c>
      <c r="D84" s="23" t="s">
        <v>345</v>
      </c>
      <c r="E84" s="25" t="s">
        <v>155</v>
      </c>
      <c r="F84" s="76" t="s">
        <v>26</v>
      </c>
      <c r="G84" s="47"/>
      <c r="H84" s="26" t="s">
        <v>114</v>
      </c>
      <c r="I84" s="22" t="s">
        <v>108</v>
      </c>
      <c r="J84" s="28" t="s">
        <v>346</v>
      </c>
      <c r="K84" s="28" t="s">
        <v>347</v>
      </c>
      <c r="L84" s="84"/>
      <c r="M84" s="54" t="n">
        <v>46174</v>
      </c>
      <c r="N84" s="61" t="n">
        <v>46538</v>
      </c>
      <c r="O84" s="95"/>
      <c r="P84" s="30" t="n">
        <v>2400</v>
      </c>
      <c r="Q84" s="50"/>
      <c r="R84" s="50"/>
      <c r="S84" s="50"/>
      <c r="T84" s="32" t="n">
        <v>0.04</v>
      </c>
      <c r="U84" s="33" t="n">
        <f aca="false">P84*T84</f>
        <v>96</v>
      </c>
      <c r="V84" s="33" t="n">
        <f aca="false">SUM(U84,(U84*0.05))</f>
        <v>100.8</v>
      </c>
      <c r="W84" s="34" t="n">
        <f aca="false">P84+Q84+R84+S84</f>
        <v>2400</v>
      </c>
      <c r="X84" s="34" t="n">
        <f aca="false">SUM(P84:S84)-V84</f>
        <v>2299.2</v>
      </c>
      <c r="Y84" s="28"/>
    </row>
    <row r="85" customFormat="false" ht="22.5" hidden="false" customHeight="true" outlineLevel="0" collapsed="false">
      <c r="A85" s="52" t="s">
        <v>331</v>
      </c>
      <c r="B85" s="36" t="s">
        <v>103</v>
      </c>
      <c r="C85" s="96" t="s">
        <v>344</v>
      </c>
      <c r="D85" s="37" t="s">
        <v>345</v>
      </c>
      <c r="E85" s="39" t="s">
        <v>109</v>
      </c>
      <c r="F85" s="92" t="s">
        <v>26</v>
      </c>
      <c r="G85" s="52"/>
      <c r="H85" s="40" t="s">
        <v>114</v>
      </c>
      <c r="I85" s="36" t="s">
        <v>108</v>
      </c>
      <c r="J85" s="42" t="s">
        <v>348</v>
      </c>
      <c r="K85" s="42" t="s">
        <v>349</v>
      </c>
      <c r="L85" s="42" t="s">
        <v>350</v>
      </c>
      <c r="M85" s="62" t="n">
        <v>46143</v>
      </c>
      <c r="N85" s="59" t="n">
        <v>46507</v>
      </c>
      <c r="O85" s="95"/>
      <c r="P85" s="55" t="n">
        <v>1200</v>
      </c>
      <c r="Q85" s="56"/>
      <c r="R85" s="56"/>
      <c r="S85" s="56"/>
      <c r="T85" s="57" t="n">
        <v>0.04</v>
      </c>
      <c r="U85" s="45" t="n">
        <f aca="false">P85*T85</f>
        <v>48</v>
      </c>
      <c r="V85" s="33" t="n">
        <f aca="false">SUM(U85,(U85*0.05))</f>
        <v>50.4</v>
      </c>
      <c r="W85" s="46" t="n">
        <f aca="false">P85+Q85+R85+S85</f>
        <v>1200</v>
      </c>
      <c r="X85" s="34" t="n">
        <f aca="false">SUM(P85:S85)-V85</f>
        <v>1149.6</v>
      </c>
      <c r="Y85" s="42"/>
    </row>
    <row r="86" customFormat="false" ht="22.5" hidden="false" customHeight="true" outlineLevel="0" collapsed="false">
      <c r="A86" s="21" t="n">
        <v>46097</v>
      </c>
      <c r="B86" s="22" t="s">
        <v>103</v>
      </c>
      <c r="C86" s="94" t="s">
        <v>344</v>
      </c>
      <c r="D86" s="23" t="s">
        <v>351</v>
      </c>
      <c r="E86" s="25" t="s">
        <v>155</v>
      </c>
      <c r="F86" s="76" t="s">
        <v>26</v>
      </c>
      <c r="G86" s="47"/>
      <c r="H86" s="26" t="s">
        <v>114</v>
      </c>
      <c r="I86" s="22" t="s">
        <v>108</v>
      </c>
      <c r="J86" s="28" t="s">
        <v>352</v>
      </c>
      <c r="K86" s="28" t="s">
        <v>353</v>
      </c>
      <c r="L86" s="28"/>
      <c r="M86" s="28" t="s">
        <v>354</v>
      </c>
      <c r="N86" s="54" t="n">
        <v>46507</v>
      </c>
      <c r="O86" s="30"/>
      <c r="P86" s="30" t="n">
        <v>2350</v>
      </c>
      <c r="Q86" s="50"/>
      <c r="R86" s="50"/>
      <c r="S86" s="50"/>
      <c r="T86" s="32" t="n">
        <v>0.04</v>
      </c>
      <c r="U86" s="33" t="n">
        <f aca="false">P86*T86</f>
        <v>94</v>
      </c>
      <c r="V86" s="33" t="n">
        <f aca="false">SUM(U86,(U86*0.05))</f>
        <v>98.7</v>
      </c>
      <c r="W86" s="34" t="n">
        <f aca="false">P86+Q86+R86+S86</f>
        <v>2350</v>
      </c>
      <c r="X86" s="34" t="n">
        <f aca="false">SUM(P86:S86)-V86</f>
        <v>2251.3</v>
      </c>
      <c r="Y86" s="97" t="s">
        <v>355</v>
      </c>
    </row>
    <row r="87" customFormat="false" ht="22.5" hidden="false" customHeight="true" outlineLevel="0" collapsed="false">
      <c r="A87" s="35" t="n">
        <v>46097</v>
      </c>
      <c r="B87" s="36" t="s">
        <v>103</v>
      </c>
      <c r="C87" s="96" t="s">
        <v>344</v>
      </c>
      <c r="D87" s="37" t="s">
        <v>351</v>
      </c>
      <c r="E87" s="39" t="s">
        <v>109</v>
      </c>
      <c r="F87" s="92" t="s">
        <v>26</v>
      </c>
      <c r="G87" s="52"/>
      <c r="H87" s="40" t="s">
        <v>114</v>
      </c>
      <c r="I87" s="36" t="s">
        <v>108</v>
      </c>
      <c r="J87" s="42" t="s">
        <v>356</v>
      </c>
      <c r="K87" s="42" t="s">
        <v>357</v>
      </c>
      <c r="L87" s="42"/>
      <c r="M87" s="59" t="n">
        <v>45870</v>
      </c>
      <c r="N87" s="59" t="n">
        <v>46234</v>
      </c>
      <c r="O87" s="55" t="n">
        <v>350</v>
      </c>
      <c r="P87" s="55" t="n">
        <v>2450</v>
      </c>
      <c r="Q87" s="56"/>
      <c r="R87" s="56"/>
      <c r="S87" s="56"/>
      <c r="T87" s="57" t="n">
        <v>0.04</v>
      </c>
      <c r="U87" s="45" t="n">
        <f aca="false">P87*T87</f>
        <v>98</v>
      </c>
      <c r="V87" s="33" t="n">
        <f aca="false">SUM(U87,(U87*0.05))</f>
        <v>102.9</v>
      </c>
      <c r="W87" s="46" t="n">
        <f aca="false">P87+Q87+R87+S87</f>
        <v>2450</v>
      </c>
      <c r="X87" s="34" t="n">
        <f aca="false">SUM(P87:S87)-V87</f>
        <v>2347.1</v>
      </c>
      <c r="Y87" s="98" t="s">
        <v>358</v>
      </c>
    </row>
    <row r="88" customFormat="false" ht="22.5" hidden="false" customHeight="true" outlineLevel="0" collapsed="false">
      <c r="A88" s="21" t="n">
        <v>46001</v>
      </c>
      <c r="B88" s="22" t="s">
        <v>103</v>
      </c>
      <c r="C88" s="94" t="s">
        <v>359</v>
      </c>
      <c r="D88" s="23" t="s">
        <v>360</v>
      </c>
      <c r="E88" s="25" t="s">
        <v>106</v>
      </c>
      <c r="F88" s="76" t="s">
        <v>26</v>
      </c>
      <c r="G88" s="47"/>
      <c r="H88" s="26" t="s">
        <v>114</v>
      </c>
      <c r="I88" s="22" t="s">
        <v>108</v>
      </c>
      <c r="J88" s="28" t="s">
        <v>361</v>
      </c>
      <c r="K88" s="28" t="s">
        <v>362</v>
      </c>
      <c r="L88" s="28" t="s">
        <v>363</v>
      </c>
      <c r="M88" s="54" t="n">
        <v>46113</v>
      </c>
      <c r="N88" s="54" t="n">
        <v>46477</v>
      </c>
      <c r="O88" s="30" t="n">
        <v>500</v>
      </c>
      <c r="P88" s="30" t="n">
        <v>2000</v>
      </c>
      <c r="Q88" s="30" t="n">
        <v>50</v>
      </c>
      <c r="R88" s="50"/>
      <c r="S88" s="50"/>
      <c r="T88" s="32" t="n">
        <v>0.07</v>
      </c>
      <c r="U88" s="33" t="n">
        <f aca="false">P88*T88</f>
        <v>140</v>
      </c>
      <c r="V88" s="33" t="n">
        <f aca="false">SUM(U88,(U88*0.05))</f>
        <v>147</v>
      </c>
      <c r="W88" s="34" t="n">
        <f aca="false">P88+Q88+R88+S88</f>
        <v>2050</v>
      </c>
      <c r="X88" s="34" t="n">
        <f aca="false">SUM(P88:S88)-V88</f>
        <v>1903</v>
      </c>
      <c r="Y88" s="28"/>
    </row>
    <row r="89" customFormat="false" ht="22.5" hidden="false" customHeight="true" outlineLevel="0" collapsed="false">
      <c r="A89" s="99" t="s">
        <v>331</v>
      </c>
      <c r="B89" s="36" t="s">
        <v>103</v>
      </c>
      <c r="C89" s="90" t="s">
        <v>364</v>
      </c>
      <c r="D89" s="80" t="s">
        <v>365</v>
      </c>
      <c r="E89" s="81"/>
      <c r="F89" s="92" t="s">
        <v>26</v>
      </c>
      <c r="G89" s="83"/>
      <c r="H89" s="36" t="s">
        <v>107</v>
      </c>
      <c r="I89" s="92" t="s">
        <v>341</v>
      </c>
      <c r="J89" s="84"/>
      <c r="K89" s="84"/>
      <c r="L89" s="84"/>
      <c r="M89" s="85"/>
      <c r="N89" s="83"/>
      <c r="O89" s="86"/>
      <c r="P89" s="86"/>
      <c r="Q89" s="86"/>
      <c r="R89" s="86"/>
      <c r="S89" s="86"/>
      <c r="T89" s="100"/>
      <c r="U89" s="88" t="n">
        <f aca="false">P89*T89</f>
        <v>0</v>
      </c>
      <c r="V89" s="88"/>
      <c r="W89" s="89" t="n">
        <f aca="false">P89+Q89+R89+S89</f>
        <v>0</v>
      </c>
      <c r="X89" s="89" t="n">
        <f aca="false">SUM(P89:S89)-U89</f>
        <v>0</v>
      </c>
      <c r="Y89" s="84"/>
    </row>
    <row r="90" customFormat="false" ht="22.5" hidden="false" customHeight="true" outlineLevel="0" collapsed="false">
      <c r="A90" s="78" t="n">
        <v>46011</v>
      </c>
      <c r="B90" s="22" t="s">
        <v>103</v>
      </c>
      <c r="C90" s="90" t="s">
        <v>366</v>
      </c>
      <c r="D90" s="80" t="s">
        <v>367</v>
      </c>
      <c r="E90" s="81"/>
      <c r="F90" s="76" t="s">
        <v>26</v>
      </c>
      <c r="G90" s="83"/>
      <c r="H90" s="22" t="s">
        <v>107</v>
      </c>
      <c r="I90" s="76" t="s">
        <v>341</v>
      </c>
      <c r="J90" s="84"/>
      <c r="K90" s="84"/>
      <c r="L90" s="84"/>
      <c r="M90" s="85"/>
      <c r="N90" s="83"/>
      <c r="O90" s="86"/>
      <c r="P90" s="86"/>
      <c r="Q90" s="86"/>
      <c r="R90" s="86"/>
      <c r="S90" s="86"/>
      <c r="T90" s="100"/>
      <c r="U90" s="88" t="n">
        <f aca="false">P90*T90</f>
        <v>0</v>
      </c>
      <c r="V90" s="88"/>
      <c r="W90" s="89" t="n">
        <f aca="false">P90+Q90+R90+S90</f>
        <v>0</v>
      </c>
      <c r="X90" s="89" t="n">
        <f aca="false">SUM(P90:S90)-U90</f>
        <v>0</v>
      </c>
      <c r="Y90" s="84"/>
    </row>
    <row r="91" customFormat="false" ht="22.5" hidden="false" customHeight="true" outlineLevel="0" collapsed="false">
      <c r="A91" s="101" t="n">
        <v>46014</v>
      </c>
      <c r="B91" s="36" t="s">
        <v>103</v>
      </c>
      <c r="C91" s="102" t="s">
        <v>368</v>
      </c>
      <c r="D91" s="38" t="s">
        <v>369</v>
      </c>
      <c r="E91" s="39" t="n">
        <v>101</v>
      </c>
      <c r="F91" s="103" t="s">
        <v>28</v>
      </c>
      <c r="G91" s="41"/>
      <c r="H91" s="36" t="s">
        <v>107</v>
      </c>
      <c r="I91" s="36" t="s">
        <v>108</v>
      </c>
      <c r="J91" s="42"/>
      <c r="K91" s="42"/>
      <c r="L91" s="42"/>
      <c r="M91" s="43"/>
      <c r="N91" s="41"/>
      <c r="O91" s="44"/>
      <c r="P91" s="31"/>
      <c r="Q91" s="31"/>
      <c r="R91" s="31"/>
      <c r="S91" s="44"/>
      <c r="T91" s="104"/>
      <c r="U91" s="45" t="n">
        <f aca="false">P91*T91</f>
        <v>0</v>
      </c>
      <c r="V91" s="45"/>
      <c r="W91" s="46" t="n">
        <f aca="false">P91+Q91+R91+S91</f>
        <v>0</v>
      </c>
      <c r="X91" s="46" t="n">
        <f aca="false">SUM(P91:S91)-U91</f>
        <v>0</v>
      </c>
      <c r="Y91" s="42"/>
    </row>
    <row r="92" customFormat="false" ht="22.5" hidden="false" customHeight="true" outlineLevel="0" collapsed="false">
      <c r="A92" s="105" t="n">
        <v>46014</v>
      </c>
      <c r="B92" s="22" t="s">
        <v>103</v>
      </c>
      <c r="C92" s="94" t="s">
        <v>368</v>
      </c>
      <c r="D92" s="23" t="s">
        <v>369</v>
      </c>
      <c r="E92" s="25" t="n">
        <v>102</v>
      </c>
      <c r="F92" s="106" t="s">
        <v>28</v>
      </c>
      <c r="G92" s="47"/>
      <c r="H92" s="26" t="s">
        <v>114</v>
      </c>
      <c r="I92" s="22" t="s">
        <v>108</v>
      </c>
      <c r="J92" s="48" t="s">
        <v>370</v>
      </c>
      <c r="K92" s="48" t="s">
        <v>371</v>
      </c>
      <c r="L92" s="48" t="s">
        <v>372</v>
      </c>
      <c r="M92" s="107" t="n">
        <v>46082</v>
      </c>
      <c r="N92" s="107" t="n">
        <v>46446</v>
      </c>
      <c r="O92" s="30" t="n">
        <v>699</v>
      </c>
      <c r="P92" s="108" t="n">
        <v>2700</v>
      </c>
      <c r="Q92" s="108" t="n">
        <v>50</v>
      </c>
      <c r="R92" s="56"/>
      <c r="S92" s="50"/>
      <c r="T92" s="32" t="n">
        <v>0.05</v>
      </c>
      <c r="U92" s="33" t="n">
        <f aca="false">P92*T92</f>
        <v>135</v>
      </c>
      <c r="V92" s="33" t="n">
        <f aca="false">SUM(U92,(U92*0.05))</f>
        <v>141.75</v>
      </c>
      <c r="W92" s="34" t="n">
        <f aca="false">P92+Q92+R92+S92</f>
        <v>2750</v>
      </c>
      <c r="X92" s="34" t="n">
        <f aca="false">SUM(P92:S92)-V92</f>
        <v>2608.25</v>
      </c>
      <c r="Y92" s="28"/>
    </row>
    <row r="93" customFormat="false" ht="22.5" hidden="false" customHeight="true" outlineLevel="0" collapsed="false">
      <c r="A93" s="105" t="n">
        <v>46014</v>
      </c>
      <c r="B93" s="36" t="s">
        <v>103</v>
      </c>
      <c r="C93" s="96" t="s">
        <v>368</v>
      </c>
      <c r="D93" s="37" t="s">
        <v>369</v>
      </c>
      <c r="E93" s="39" t="n">
        <v>103</v>
      </c>
      <c r="F93" s="103" t="s">
        <v>28</v>
      </c>
      <c r="G93" s="52"/>
      <c r="H93" s="40" t="s">
        <v>114</v>
      </c>
      <c r="I93" s="36" t="s">
        <v>108</v>
      </c>
      <c r="J93" s="60" t="s">
        <v>373</v>
      </c>
      <c r="K93" s="60" t="s">
        <v>374</v>
      </c>
      <c r="L93" s="60" t="s">
        <v>375</v>
      </c>
      <c r="M93" s="109" t="n">
        <v>46143</v>
      </c>
      <c r="N93" s="107" t="n">
        <v>46507</v>
      </c>
      <c r="O93" s="55" t="n">
        <v>699</v>
      </c>
      <c r="P93" s="68" t="n">
        <v>2600</v>
      </c>
      <c r="Q93" s="68" t="n">
        <v>25</v>
      </c>
      <c r="R93" s="68" t="n">
        <v>200</v>
      </c>
      <c r="S93" s="56"/>
      <c r="T93" s="57" t="n">
        <v>0.05</v>
      </c>
      <c r="U93" s="45" t="n">
        <f aca="false">P93*T93</f>
        <v>130</v>
      </c>
      <c r="V93" s="33" t="n">
        <f aca="false">SUM(U93,(U93*0.05))</f>
        <v>136.5</v>
      </c>
      <c r="W93" s="46" t="n">
        <f aca="false">P93+Q93+R93+S93</f>
        <v>2825</v>
      </c>
      <c r="X93" s="34" t="n">
        <f aca="false">SUM(P93:S93)-V93</f>
        <v>2688.5</v>
      </c>
      <c r="Y93" s="42"/>
    </row>
    <row r="94" customFormat="false" ht="22.5" hidden="false" customHeight="true" outlineLevel="0" collapsed="false">
      <c r="A94" s="101" t="n">
        <v>46014</v>
      </c>
      <c r="B94" s="22" t="s">
        <v>103</v>
      </c>
      <c r="C94" s="110" t="s">
        <v>368</v>
      </c>
      <c r="D94" s="24" t="s">
        <v>369</v>
      </c>
      <c r="E94" s="25" t="n">
        <v>201</v>
      </c>
      <c r="F94" s="106" t="s">
        <v>28</v>
      </c>
      <c r="G94" s="27"/>
      <c r="H94" s="22" t="s">
        <v>107</v>
      </c>
      <c r="I94" s="22" t="s">
        <v>108</v>
      </c>
      <c r="J94" s="28" t="s">
        <v>376</v>
      </c>
      <c r="K94" s="111" t="s">
        <v>377</v>
      </c>
      <c r="L94" s="111" t="s">
        <v>378</v>
      </c>
      <c r="M94" s="112" t="n">
        <v>46082</v>
      </c>
      <c r="N94" s="112" t="n">
        <v>46446</v>
      </c>
      <c r="O94" s="30" t="n">
        <v>699</v>
      </c>
      <c r="P94" s="44"/>
      <c r="Q94" s="44"/>
      <c r="R94" s="44"/>
      <c r="S94" s="31"/>
      <c r="T94" s="32" t="n">
        <v>0.05</v>
      </c>
      <c r="U94" s="33" t="n">
        <f aca="false">P94*T94</f>
        <v>0</v>
      </c>
      <c r="V94" s="33"/>
      <c r="W94" s="34" t="n">
        <f aca="false">P94+Q94+R94+S94</f>
        <v>0</v>
      </c>
      <c r="X94" s="34" t="n">
        <f aca="false">SUM(P94:S94)-U94</f>
        <v>0</v>
      </c>
      <c r="Y94" s="28"/>
    </row>
    <row r="95" customFormat="false" ht="22.5" hidden="false" customHeight="true" outlineLevel="0" collapsed="false">
      <c r="A95" s="101" t="n">
        <v>46014</v>
      </c>
      <c r="B95" s="36" t="s">
        <v>103</v>
      </c>
      <c r="C95" s="102" t="s">
        <v>368</v>
      </c>
      <c r="D95" s="38" t="s">
        <v>369</v>
      </c>
      <c r="E95" s="39" t="n">
        <v>202</v>
      </c>
      <c r="F95" s="103" t="s">
        <v>28</v>
      </c>
      <c r="G95" s="41"/>
      <c r="H95" s="40" t="s">
        <v>107</v>
      </c>
      <c r="I95" s="36" t="s">
        <v>108</v>
      </c>
      <c r="J95" s="111" t="s">
        <v>379</v>
      </c>
      <c r="K95" s="111" t="s">
        <v>380</v>
      </c>
      <c r="L95" s="111" t="s">
        <v>381</v>
      </c>
      <c r="M95" s="112" t="n">
        <v>46113</v>
      </c>
      <c r="N95" s="112" t="n">
        <v>46568</v>
      </c>
      <c r="O95" s="55" t="n">
        <v>699</v>
      </c>
      <c r="P95" s="68" t="n">
        <v>2400</v>
      </c>
      <c r="Q95" s="31"/>
      <c r="R95" s="68" t="n">
        <v>100</v>
      </c>
      <c r="S95" s="44"/>
      <c r="T95" s="57" t="n">
        <v>0.05</v>
      </c>
      <c r="U95" s="45" t="n">
        <f aca="false">P95*T95</f>
        <v>120</v>
      </c>
      <c r="V95" s="45"/>
      <c r="W95" s="46" t="n">
        <f aca="false">P95+Q95+R95+S95</f>
        <v>2500</v>
      </c>
      <c r="X95" s="46" t="n">
        <f aca="false">SUM(P95:S95)-U95</f>
        <v>2380</v>
      </c>
      <c r="Y95" s="42"/>
    </row>
    <row r="96" customFormat="false" ht="22.5" hidden="false" customHeight="true" outlineLevel="0" collapsed="false">
      <c r="A96" s="105" t="n">
        <v>46014</v>
      </c>
      <c r="B96" s="22" t="s">
        <v>103</v>
      </c>
      <c r="C96" s="94" t="s">
        <v>368</v>
      </c>
      <c r="D96" s="23" t="s">
        <v>369</v>
      </c>
      <c r="E96" s="25" t="s">
        <v>382</v>
      </c>
      <c r="F96" s="106" t="s">
        <v>28</v>
      </c>
      <c r="G96" s="47"/>
      <c r="H96" s="26" t="s">
        <v>114</v>
      </c>
      <c r="I96" s="22" t="s">
        <v>108</v>
      </c>
      <c r="J96" s="48" t="s">
        <v>383</v>
      </c>
      <c r="K96" s="48" t="s">
        <v>384</v>
      </c>
      <c r="L96" s="48" t="s">
        <v>385</v>
      </c>
      <c r="M96" s="107" t="n">
        <v>46113</v>
      </c>
      <c r="N96" s="107" t="n">
        <v>46477</v>
      </c>
      <c r="O96" s="30" t="n">
        <v>699</v>
      </c>
      <c r="P96" s="108" t="n">
        <v>1200</v>
      </c>
      <c r="Q96" s="108" t="n">
        <v>250</v>
      </c>
      <c r="R96" s="56"/>
      <c r="S96" s="50"/>
      <c r="T96" s="32" t="n">
        <v>0.05</v>
      </c>
      <c r="U96" s="33" t="n">
        <f aca="false">P96*T96</f>
        <v>60</v>
      </c>
      <c r="V96" s="33" t="n">
        <f aca="false">SUM(U96,(U96*0.05))</f>
        <v>63</v>
      </c>
      <c r="W96" s="34" t="n">
        <f aca="false">P96+Q96+R96+S96</f>
        <v>1450</v>
      </c>
      <c r="X96" s="34" t="n">
        <f aca="false">SUM(P96:S96)-V96</f>
        <v>1387</v>
      </c>
      <c r="Y96" s="28"/>
    </row>
    <row r="97" customFormat="false" ht="22.5" hidden="false" customHeight="true" outlineLevel="0" collapsed="false">
      <c r="A97" s="105" t="n">
        <v>46014</v>
      </c>
      <c r="B97" s="36" t="s">
        <v>103</v>
      </c>
      <c r="C97" s="96" t="s">
        <v>368</v>
      </c>
      <c r="D97" s="37" t="s">
        <v>369</v>
      </c>
      <c r="E97" s="39" t="s">
        <v>386</v>
      </c>
      <c r="F97" s="103" t="s">
        <v>28</v>
      </c>
      <c r="G97" s="52"/>
      <c r="H97" s="40" t="s">
        <v>114</v>
      </c>
      <c r="I97" s="36" t="s">
        <v>108</v>
      </c>
      <c r="J97" s="60" t="s">
        <v>387</v>
      </c>
      <c r="K97" s="60" t="s">
        <v>388</v>
      </c>
      <c r="L97" s="42" t="s">
        <v>389</v>
      </c>
      <c r="M97" s="109" t="n">
        <v>46143</v>
      </c>
      <c r="N97" s="107" t="n">
        <v>46507</v>
      </c>
      <c r="O97" s="55" t="n">
        <v>699</v>
      </c>
      <c r="P97" s="68" t="n">
        <v>1100</v>
      </c>
      <c r="Q97" s="50"/>
      <c r="R97" s="50"/>
      <c r="S97" s="56"/>
      <c r="T97" s="57" t="n">
        <v>0.05</v>
      </c>
      <c r="U97" s="45" t="n">
        <f aca="false">P97*T97</f>
        <v>55</v>
      </c>
      <c r="V97" s="33" t="n">
        <f aca="false">SUM(U97,(U97*0.05))</f>
        <v>57.75</v>
      </c>
      <c r="W97" s="46" t="n">
        <f aca="false">P97+Q97+R97+S97</f>
        <v>1100</v>
      </c>
      <c r="X97" s="34" t="n">
        <f aca="false">SUM(P97:S97)-V97</f>
        <v>1042.25</v>
      </c>
      <c r="Y97" s="42"/>
    </row>
    <row r="98" customFormat="false" ht="22.5" hidden="false" customHeight="true" outlineLevel="0" collapsed="false">
      <c r="A98" s="105" t="n">
        <v>46014</v>
      </c>
      <c r="B98" s="22" t="s">
        <v>103</v>
      </c>
      <c r="C98" s="94" t="s">
        <v>368</v>
      </c>
      <c r="D98" s="23" t="s">
        <v>369</v>
      </c>
      <c r="E98" s="25" t="s">
        <v>390</v>
      </c>
      <c r="F98" s="106" t="s">
        <v>28</v>
      </c>
      <c r="G98" s="47"/>
      <c r="H98" s="26" t="s">
        <v>114</v>
      </c>
      <c r="I98" s="22" t="s">
        <v>108</v>
      </c>
      <c r="J98" s="48" t="s">
        <v>391</v>
      </c>
      <c r="K98" s="48" t="s">
        <v>392</v>
      </c>
      <c r="L98" s="48" t="s">
        <v>393</v>
      </c>
      <c r="M98" s="109" t="n">
        <v>46143</v>
      </c>
      <c r="N98" s="107" t="n">
        <v>46507</v>
      </c>
      <c r="O98" s="30" t="n">
        <v>699</v>
      </c>
      <c r="P98" s="108" t="n">
        <v>1150</v>
      </c>
      <c r="Q98" s="108" t="n">
        <v>50</v>
      </c>
      <c r="R98" s="56"/>
      <c r="S98" s="50"/>
      <c r="T98" s="32" t="n">
        <v>0.05</v>
      </c>
      <c r="U98" s="33" t="n">
        <f aca="false">P98*T98</f>
        <v>57.5</v>
      </c>
      <c r="V98" s="33" t="n">
        <f aca="false">SUM(U98,(U98*0.05))</f>
        <v>60.375</v>
      </c>
      <c r="W98" s="34" t="n">
        <f aca="false">P98+Q98+R98+S98</f>
        <v>1200</v>
      </c>
      <c r="X98" s="34" t="n">
        <f aca="false">SUM(P98:S98)-V98</f>
        <v>1139.625</v>
      </c>
      <c r="Y98" s="28"/>
    </row>
    <row r="99" customFormat="false" ht="22.5" hidden="false" customHeight="true" outlineLevel="0" collapsed="false">
      <c r="A99" s="105" t="n">
        <v>46014</v>
      </c>
      <c r="B99" s="36" t="s">
        <v>103</v>
      </c>
      <c r="C99" s="96" t="s">
        <v>368</v>
      </c>
      <c r="D99" s="37" t="s">
        <v>369</v>
      </c>
      <c r="E99" s="39" t="s">
        <v>394</v>
      </c>
      <c r="F99" s="103" t="s">
        <v>28</v>
      </c>
      <c r="G99" s="52"/>
      <c r="H99" s="40" t="s">
        <v>114</v>
      </c>
      <c r="I99" s="36" t="s">
        <v>108</v>
      </c>
      <c r="J99" s="42" t="s">
        <v>395</v>
      </c>
      <c r="K99" s="42" t="s">
        <v>396</v>
      </c>
      <c r="L99" s="42" t="s">
        <v>397</v>
      </c>
      <c r="M99" s="107" t="n">
        <v>46113</v>
      </c>
      <c r="N99" s="107" t="n">
        <v>46477</v>
      </c>
      <c r="O99" s="55" t="n">
        <v>699</v>
      </c>
      <c r="P99" s="68" t="n">
        <v>1100</v>
      </c>
      <c r="Q99" s="50"/>
      <c r="R99" s="50"/>
      <c r="S99" s="56"/>
      <c r="T99" s="57" t="n">
        <v>0.05</v>
      </c>
      <c r="U99" s="45" t="n">
        <f aca="false">P99*T99</f>
        <v>55</v>
      </c>
      <c r="V99" s="33" t="n">
        <f aca="false">SUM(U99,(U99*0.05))</f>
        <v>57.75</v>
      </c>
      <c r="W99" s="46" t="n">
        <f aca="false">P99+Q99+R99+S99</f>
        <v>1100</v>
      </c>
      <c r="X99" s="34" t="n">
        <f aca="false">SUM(P99:S99)-V99</f>
        <v>1042.25</v>
      </c>
      <c r="Y99" s="42"/>
    </row>
    <row r="100" customFormat="false" ht="22.5" hidden="false" customHeight="true" outlineLevel="0" collapsed="false">
      <c r="A100" s="105" t="n">
        <v>46014</v>
      </c>
      <c r="B100" s="22" t="s">
        <v>103</v>
      </c>
      <c r="C100" s="94" t="s">
        <v>368</v>
      </c>
      <c r="D100" s="23" t="s">
        <v>369</v>
      </c>
      <c r="E100" s="25" t="s">
        <v>398</v>
      </c>
      <c r="F100" s="106" t="s">
        <v>28</v>
      </c>
      <c r="G100" s="47"/>
      <c r="H100" s="22" t="s">
        <v>114</v>
      </c>
      <c r="I100" s="22" t="s">
        <v>108</v>
      </c>
      <c r="J100" s="28" t="s">
        <v>399</v>
      </c>
      <c r="K100" s="28" t="s">
        <v>400</v>
      </c>
      <c r="L100" s="28" t="s">
        <v>401</v>
      </c>
      <c r="M100" s="107" t="n">
        <v>46204</v>
      </c>
      <c r="N100" s="107" t="n">
        <v>46568</v>
      </c>
      <c r="O100" s="55" t="n">
        <v>699</v>
      </c>
      <c r="P100" s="56" t="n">
        <v>1100</v>
      </c>
      <c r="Q100" s="56"/>
      <c r="R100" s="56"/>
      <c r="S100" s="50"/>
      <c r="T100" s="32" t="n">
        <v>0.05</v>
      </c>
      <c r="U100" s="33" t="n">
        <f aca="false">P100*T100</f>
        <v>55</v>
      </c>
      <c r="V100" s="33" t="n">
        <f aca="false">SUM(U100,(U100*0.05))</f>
        <v>57.75</v>
      </c>
      <c r="W100" s="34" t="n">
        <f aca="false">P100+Q100+R100+S100</f>
        <v>1100</v>
      </c>
      <c r="X100" s="34" t="n">
        <f aca="false">SUM(P100:S100)-V100</f>
        <v>1042.25</v>
      </c>
      <c r="Y100" s="28"/>
    </row>
    <row r="101" customFormat="false" ht="22.5" hidden="false" customHeight="true" outlineLevel="0" collapsed="false">
      <c r="A101" s="105" t="n">
        <v>46027</v>
      </c>
      <c r="B101" s="36" t="s">
        <v>103</v>
      </c>
      <c r="C101" s="96" t="s">
        <v>402</v>
      </c>
      <c r="D101" s="37" t="s">
        <v>403</v>
      </c>
      <c r="E101" s="39" t="s">
        <v>106</v>
      </c>
      <c r="F101" s="40" t="s">
        <v>25</v>
      </c>
      <c r="G101" s="52"/>
      <c r="H101" s="40" t="s">
        <v>114</v>
      </c>
      <c r="I101" s="36" t="s">
        <v>108</v>
      </c>
      <c r="J101" s="42" t="s">
        <v>404</v>
      </c>
      <c r="K101" s="42" t="s">
        <v>405</v>
      </c>
      <c r="L101" s="42" t="s">
        <v>406</v>
      </c>
      <c r="M101" s="67" t="n">
        <v>46054</v>
      </c>
      <c r="N101" s="67" t="n">
        <v>46752</v>
      </c>
      <c r="O101" s="55" t="n">
        <v>599</v>
      </c>
      <c r="P101" s="55" t="n">
        <v>1900</v>
      </c>
      <c r="Q101" s="56"/>
      <c r="R101" s="56"/>
      <c r="S101" s="56"/>
      <c r="T101" s="57" t="n">
        <v>0.05</v>
      </c>
      <c r="U101" s="45" t="n">
        <f aca="false">P101*T101</f>
        <v>95</v>
      </c>
      <c r="V101" s="33" t="n">
        <f aca="false">SUM(U101,(U101*0.05))</f>
        <v>99.75</v>
      </c>
      <c r="W101" s="46" t="n">
        <f aca="false">P101+Q101+R101+S101</f>
        <v>1900</v>
      </c>
      <c r="X101" s="34" t="n">
        <f aca="false">SUM(P101:S101)-V101</f>
        <v>1800.25</v>
      </c>
      <c r="Y101" s="42"/>
    </row>
    <row r="102" customFormat="false" ht="22.5" hidden="false" customHeight="true" outlineLevel="0" collapsed="false">
      <c r="A102" s="113" t="n">
        <v>46027</v>
      </c>
      <c r="B102" s="22" t="s">
        <v>103</v>
      </c>
      <c r="C102" s="94" t="s">
        <v>402</v>
      </c>
      <c r="D102" s="23" t="s">
        <v>403</v>
      </c>
      <c r="E102" s="25" t="s">
        <v>109</v>
      </c>
      <c r="F102" s="26" t="s">
        <v>25</v>
      </c>
      <c r="G102" s="47"/>
      <c r="H102" s="26" t="s">
        <v>114</v>
      </c>
      <c r="I102" s="22" t="s">
        <v>108</v>
      </c>
      <c r="J102" s="28" t="s">
        <v>407</v>
      </c>
      <c r="K102" s="28" t="s">
        <v>408</v>
      </c>
      <c r="L102" s="28" t="s">
        <v>409</v>
      </c>
      <c r="M102" s="49" t="n">
        <v>46054</v>
      </c>
      <c r="N102" s="114" t="n">
        <v>46418</v>
      </c>
      <c r="O102" s="30" t="n">
        <v>599</v>
      </c>
      <c r="P102" s="30" t="n">
        <v>900</v>
      </c>
      <c r="Q102" s="50"/>
      <c r="R102" s="50"/>
      <c r="S102" s="50"/>
      <c r="T102" s="32" t="n">
        <v>0.05</v>
      </c>
      <c r="U102" s="33" t="n">
        <f aca="false">P102*T102</f>
        <v>45</v>
      </c>
      <c r="V102" s="33" t="n">
        <f aca="false">SUM(U102,(U102*0.05))</f>
        <v>47.25</v>
      </c>
      <c r="W102" s="34" t="n">
        <f aca="false">P102+Q102+R102+S102</f>
        <v>900</v>
      </c>
      <c r="X102" s="34" t="n">
        <f aca="false">SUM(P102:S102)-V102</f>
        <v>852.75</v>
      </c>
      <c r="Y102" s="28"/>
    </row>
    <row r="103" customFormat="false" ht="22.5" hidden="false" customHeight="true" outlineLevel="0" collapsed="false">
      <c r="A103" s="105" t="n">
        <v>46027</v>
      </c>
      <c r="B103" s="36" t="s">
        <v>103</v>
      </c>
      <c r="C103" s="96" t="s">
        <v>402</v>
      </c>
      <c r="D103" s="37" t="s">
        <v>410</v>
      </c>
      <c r="E103" s="39" t="s">
        <v>106</v>
      </c>
      <c r="F103" s="40" t="s">
        <v>25</v>
      </c>
      <c r="G103" s="52"/>
      <c r="H103" s="40" t="s">
        <v>114</v>
      </c>
      <c r="I103" s="36" t="s">
        <v>108</v>
      </c>
      <c r="J103" s="42" t="s">
        <v>411</v>
      </c>
      <c r="K103" s="42" t="s">
        <v>412</v>
      </c>
      <c r="L103" s="42" t="s">
        <v>413</v>
      </c>
      <c r="M103" s="67" t="n">
        <v>46082</v>
      </c>
      <c r="N103" s="67" t="n">
        <v>46446</v>
      </c>
      <c r="O103" s="55" t="n">
        <v>599</v>
      </c>
      <c r="P103" s="55" t="n">
        <v>1900</v>
      </c>
      <c r="Q103" s="55" t="n">
        <v>50</v>
      </c>
      <c r="R103" s="56"/>
      <c r="S103" s="56"/>
      <c r="T103" s="57" t="n">
        <v>0.05</v>
      </c>
      <c r="U103" s="45" t="n">
        <f aca="false">P103*T103</f>
        <v>95</v>
      </c>
      <c r="V103" s="33" t="n">
        <f aca="false">SUM(U103,(U103*0.05))</f>
        <v>99.75</v>
      </c>
      <c r="W103" s="46" t="n">
        <f aca="false">P103+Q103+R103+S103</f>
        <v>1950</v>
      </c>
      <c r="X103" s="34" t="n">
        <f aca="false">SUM(P103:S103)-V103</f>
        <v>1850.25</v>
      </c>
      <c r="Y103" s="42"/>
    </row>
    <row r="104" customFormat="false" ht="22.5" hidden="false" customHeight="true" outlineLevel="0" collapsed="false">
      <c r="A104" s="113" t="n">
        <v>46027</v>
      </c>
      <c r="B104" s="22" t="s">
        <v>103</v>
      </c>
      <c r="C104" s="94" t="s">
        <v>402</v>
      </c>
      <c r="D104" s="23" t="s">
        <v>410</v>
      </c>
      <c r="E104" s="25" t="s">
        <v>109</v>
      </c>
      <c r="F104" s="26" t="s">
        <v>25</v>
      </c>
      <c r="G104" s="47"/>
      <c r="H104" s="26" t="s">
        <v>114</v>
      </c>
      <c r="I104" s="22" t="s">
        <v>108</v>
      </c>
      <c r="J104" s="28" t="s">
        <v>414</v>
      </c>
      <c r="K104" s="28" t="s">
        <v>415</v>
      </c>
      <c r="L104" s="28" t="s">
        <v>409</v>
      </c>
      <c r="M104" s="49" t="n">
        <v>46054</v>
      </c>
      <c r="N104" s="49" t="n">
        <v>46418</v>
      </c>
      <c r="O104" s="30" t="n">
        <v>599</v>
      </c>
      <c r="P104" s="30" t="n">
        <v>900</v>
      </c>
      <c r="Q104" s="50"/>
      <c r="R104" s="50"/>
      <c r="S104" s="50"/>
      <c r="T104" s="32" t="n">
        <v>0.05</v>
      </c>
      <c r="U104" s="33" t="n">
        <f aca="false">P104*T104</f>
        <v>45</v>
      </c>
      <c r="V104" s="33" t="n">
        <f aca="false">SUM(U104,(U104*0.05))</f>
        <v>47.25</v>
      </c>
      <c r="W104" s="34" t="n">
        <f aca="false">P104+Q104+R104+S104</f>
        <v>900</v>
      </c>
      <c r="X104" s="34" t="n">
        <f aca="false">SUM(P104:S104)-V104</f>
        <v>852.75</v>
      </c>
      <c r="Y104" s="28"/>
    </row>
    <row r="105" customFormat="false" ht="22.5" hidden="false" customHeight="true" outlineLevel="0" collapsed="false">
      <c r="A105" s="105" t="n">
        <v>45997</v>
      </c>
      <c r="B105" s="36" t="s">
        <v>103</v>
      </c>
      <c r="C105" s="96" t="s">
        <v>416</v>
      </c>
      <c r="D105" s="37" t="s">
        <v>417</v>
      </c>
      <c r="E105" s="39" t="s">
        <v>320</v>
      </c>
      <c r="F105" s="92" t="s">
        <v>26</v>
      </c>
      <c r="G105" s="52"/>
      <c r="H105" s="40" t="s">
        <v>114</v>
      </c>
      <c r="I105" s="36" t="s">
        <v>108</v>
      </c>
      <c r="J105" s="42" t="s">
        <v>418</v>
      </c>
      <c r="K105" s="42" t="s">
        <v>419</v>
      </c>
      <c r="L105" s="115"/>
      <c r="M105" s="59" t="n">
        <v>46023</v>
      </c>
      <c r="N105" s="59" t="n">
        <v>46387</v>
      </c>
      <c r="O105" s="55" t="n">
        <v>599</v>
      </c>
      <c r="P105" s="55" t="n">
        <v>1900</v>
      </c>
      <c r="Q105" s="56"/>
      <c r="R105" s="56"/>
      <c r="S105" s="56"/>
      <c r="T105" s="57" t="n">
        <v>0.07</v>
      </c>
      <c r="U105" s="45" t="n">
        <f aca="false">P105*T105</f>
        <v>133</v>
      </c>
      <c r="V105" s="33" t="n">
        <f aca="false">SUM(U105,(U105*0.05))</f>
        <v>139.65</v>
      </c>
      <c r="W105" s="46" t="n">
        <f aca="false">P105+Q105+R105+S105</f>
        <v>1900</v>
      </c>
      <c r="X105" s="34" t="n">
        <f aca="false">SUM(P105:S105)-V105</f>
        <v>1760.35</v>
      </c>
      <c r="Y105" s="42"/>
    </row>
    <row r="106" customFormat="false" ht="22.5" hidden="false" customHeight="true" outlineLevel="0" collapsed="false">
      <c r="A106" s="113" t="n">
        <v>46171</v>
      </c>
      <c r="B106" s="22" t="s">
        <v>103</v>
      </c>
      <c r="C106" s="94" t="s">
        <v>420</v>
      </c>
      <c r="D106" s="23" t="s">
        <v>421</v>
      </c>
      <c r="E106" s="25" t="s">
        <v>320</v>
      </c>
      <c r="F106" s="26" t="s">
        <v>25</v>
      </c>
      <c r="G106" s="47"/>
      <c r="H106" s="26" t="s">
        <v>114</v>
      </c>
      <c r="I106" s="22" t="s">
        <v>108</v>
      </c>
      <c r="J106" s="48" t="s">
        <v>422</v>
      </c>
      <c r="K106" s="28" t="s">
        <v>423</v>
      </c>
      <c r="L106" s="28" t="s">
        <v>424</v>
      </c>
      <c r="M106" s="49" t="n">
        <v>46204</v>
      </c>
      <c r="N106" s="49" t="n">
        <v>46568</v>
      </c>
      <c r="O106" s="30" t="n">
        <v>250</v>
      </c>
      <c r="P106" s="30" t="n">
        <v>2300</v>
      </c>
      <c r="Q106" s="50"/>
      <c r="R106" s="50"/>
      <c r="S106" s="50"/>
      <c r="T106" s="32" t="n">
        <v>0.08</v>
      </c>
      <c r="U106" s="33" t="n">
        <f aca="false">P106*T106</f>
        <v>184</v>
      </c>
      <c r="V106" s="33" t="n">
        <f aca="false">SUM(U106,(U106*0.05))</f>
        <v>193.2</v>
      </c>
      <c r="W106" s="34" t="n">
        <f aca="false">P106+Q106+R106+S106</f>
        <v>2300</v>
      </c>
      <c r="X106" s="34" t="n">
        <f aca="false">SUM(P106:S106)-V106</f>
        <v>2106.8</v>
      </c>
      <c r="Y106" s="28"/>
    </row>
    <row r="107" customFormat="false" ht="22.5" hidden="false" customHeight="true" outlineLevel="0" collapsed="false">
      <c r="A107" s="105" t="n">
        <v>46128</v>
      </c>
      <c r="B107" s="36" t="s">
        <v>103</v>
      </c>
      <c r="C107" s="96" t="s">
        <v>425</v>
      </c>
      <c r="D107" s="37" t="s">
        <v>426</v>
      </c>
      <c r="E107" s="39" t="s">
        <v>320</v>
      </c>
      <c r="F107" s="92" t="s">
        <v>26</v>
      </c>
      <c r="G107" s="52"/>
      <c r="H107" s="40" t="s">
        <v>114</v>
      </c>
      <c r="I107" s="36" t="s">
        <v>108</v>
      </c>
      <c r="J107" s="60" t="s">
        <v>427</v>
      </c>
      <c r="K107" s="60" t="s">
        <v>428</v>
      </c>
      <c r="L107" s="60" t="s">
        <v>429</v>
      </c>
      <c r="M107" s="59" t="n">
        <v>45944</v>
      </c>
      <c r="N107" s="59" t="n">
        <v>46326</v>
      </c>
      <c r="O107" s="55" t="n">
        <v>799</v>
      </c>
      <c r="P107" s="55" t="n">
        <v>1800</v>
      </c>
      <c r="Q107" s="56"/>
      <c r="R107" s="56"/>
      <c r="S107" s="56"/>
      <c r="T107" s="57" t="n">
        <v>0.07</v>
      </c>
      <c r="U107" s="45" t="n">
        <f aca="false">P107*T107</f>
        <v>126</v>
      </c>
      <c r="V107" s="33" t="n">
        <f aca="false">SUM(U107,(U107*0.05))</f>
        <v>132.3</v>
      </c>
      <c r="W107" s="46" t="n">
        <f aca="false">P107+Q107+R107+S107</f>
        <v>1800</v>
      </c>
      <c r="X107" s="34" t="n">
        <f aca="false">SUM(P107:S107)-V107</f>
        <v>1667.7</v>
      </c>
      <c r="Y107" s="42" t="s">
        <v>430</v>
      </c>
    </row>
    <row r="108" customFormat="false" ht="22.5" hidden="false" customHeight="true" outlineLevel="0" collapsed="false">
      <c r="A108" s="113" t="n">
        <v>46000</v>
      </c>
      <c r="B108" s="22" t="s">
        <v>103</v>
      </c>
      <c r="C108" s="94" t="s">
        <v>431</v>
      </c>
      <c r="D108" s="23" t="s">
        <v>432</v>
      </c>
      <c r="E108" s="25" t="s">
        <v>433</v>
      </c>
      <c r="F108" s="58" t="s">
        <v>26</v>
      </c>
      <c r="G108" s="47"/>
      <c r="H108" s="26" t="s">
        <v>114</v>
      </c>
      <c r="I108" s="22" t="s">
        <v>108</v>
      </c>
      <c r="J108" s="28" t="s">
        <v>434</v>
      </c>
      <c r="K108" s="28" t="s">
        <v>435</v>
      </c>
      <c r="L108" s="28" t="s">
        <v>436</v>
      </c>
      <c r="M108" s="54" t="n">
        <v>46023</v>
      </c>
      <c r="N108" s="54" t="n">
        <v>46477</v>
      </c>
      <c r="O108" s="30" t="n">
        <v>799</v>
      </c>
      <c r="P108" s="30" t="n">
        <v>1300</v>
      </c>
      <c r="Q108" s="30" t="n">
        <v>25</v>
      </c>
      <c r="R108" s="50"/>
      <c r="S108" s="50"/>
      <c r="T108" s="32" t="n">
        <v>0.05</v>
      </c>
      <c r="U108" s="33" t="n">
        <f aca="false">P108*T108</f>
        <v>65</v>
      </c>
      <c r="V108" s="33" t="n">
        <f aca="false">SUM(U108,(U108*0.05))</f>
        <v>68.25</v>
      </c>
      <c r="W108" s="34" t="n">
        <f aca="false">P108+Q108+R108+S108</f>
        <v>1325</v>
      </c>
      <c r="X108" s="34" t="n">
        <f aca="false">SUM(P108:S108)-V108</f>
        <v>1256.75</v>
      </c>
      <c r="Y108" s="28"/>
    </row>
    <row r="109" customFormat="false" ht="22.5" hidden="false" customHeight="true" outlineLevel="0" collapsed="false">
      <c r="A109" s="113" t="n">
        <v>46000</v>
      </c>
      <c r="B109" s="36" t="s">
        <v>103</v>
      </c>
      <c r="C109" s="96" t="s">
        <v>431</v>
      </c>
      <c r="D109" s="37" t="s">
        <v>432</v>
      </c>
      <c r="E109" s="39" t="s">
        <v>437</v>
      </c>
      <c r="F109" s="51" t="s">
        <v>26</v>
      </c>
      <c r="G109" s="52"/>
      <c r="H109" s="40" t="s">
        <v>114</v>
      </c>
      <c r="I109" s="36" t="s">
        <v>108</v>
      </c>
      <c r="J109" s="42" t="s">
        <v>438</v>
      </c>
      <c r="K109" s="42" t="s">
        <v>439</v>
      </c>
      <c r="L109" s="42" t="s">
        <v>440</v>
      </c>
      <c r="M109" s="59" t="n">
        <v>46010</v>
      </c>
      <c r="N109" s="59" t="n">
        <v>46477</v>
      </c>
      <c r="O109" s="55" t="n">
        <v>799</v>
      </c>
      <c r="P109" s="55" t="n">
        <v>1250</v>
      </c>
      <c r="Q109" s="55" t="n">
        <v>75</v>
      </c>
      <c r="R109" s="56"/>
      <c r="S109" s="56"/>
      <c r="T109" s="57" t="n">
        <v>0.05</v>
      </c>
      <c r="U109" s="45" t="n">
        <f aca="false">P109*T109</f>
        <v>62.5</v>
      </c>
      <c r="V109" s="33" t="n">
        <f aca="false">SUM(U109,(U109*0.05))</f>
        <v>65.625</v>
      </c>
      <c r="W109" s="46" t="n">
        <f aca="false">P109+Q109+R109+S109</f>
        <v>1325</v>
      </c>
      <c r="X109" s="34" t="n">
        <f aca="false">SUM(P109:S109)-V109</f>
        <v>1259.375</v>
      </c>
      <c r="Y109" s="42"/>
    </row>
    <row r="110" customFormat="false" ht="22.5" hidden="false" customHeight="true" outlineLevel="0" collapsed="false">
      <c r="A110" s="113" t="n">
        <v>46000</v>
      </c>
      <c r="B110" s="22" t="s">
        <v>103</v>
      </c>
      <c r="C110" s="94" t="s">
        <v>431</v>
      </c>
      <c r="D110" s="23" t="s">
        <v>432</v>
      </c>
      <c r="E110" s="25" t="s">
        <v>441</v>
      </c>
      <c r="F110" s="58" t="s">
        <v>26</v>
      </c>
      <c r="G110" s="47"/>
      <c r="H110" s="26" t="s">
        <v>114</v>
      </c>
      <c r="I110" s="22" t="s">
        <v>108</v>
      </c>
      <c r="J110" s="28" t="s">
        <v>442</v>
      </c>
      <c r="K110" s="28" t="s">
        <v>443</v>
      </c>
      <c r="L110" s="84"/>
      <c r="M110" s="54" t="n">
        <v>46054</v>
      </c>
      <c r="N110" s="54" t="n">
        <v>46507</v>
      </c>
      <c r="O110" s="30" t="n">
        <v>799</v>
      </c>
      <c r="P110" s="30" t="n">
        <v>1300</v>
      </c>
      <c r="Q110" s="30" t="n">
        <v>75</v>
      </c>
      <c r="R110" s="50"/>
      <c r="S110" s="50"/>
      <c r="T110" s="32" t="n">
        <v>0.05</v>
      </c>
      <c r="U110" s="33" t="n">
        <f aca="false">P110*T110</f>
        <v>65</v>
      </c>
      <c r="V110" s="33" t="n">
        <f aca="false">SUM(U110,(U110*0.05))</f>
        <v>68.25</v>
      </c>
      <c r="W110" s="34" t="n">
        <f aca="false">P110+Q110+R110+S110</f>
        <v>1375</v>
      </c>
      <c r="X110" s="34" t="n">
        <f aca="false">SUM(P110:S110)-V110</f>
        <v>1306.75</v>
      </c>
      <c r="Y110" s="28"/>
    </row>
    <row r="111" customFormat="false" ht="22.5" hidden="false" customHeight="true" outlineLevel="0" collapsed="false">
      <c r="A111" s="113" t="n">
        <v>46000</v>
      </c>
      <c r="B111" s="36" t="s">
        <v>103</v>
      </c>
      <c r="C111" s="96" t="s">
        <v>431</v>
      </c>
      <c r="D111" s="37" t="s">
        <v>432</v>
      </c>
      <c r="E111" s="39" t="s">
        <v>444</v>
      </c>
      <c r="F111" s="51" t="s">
        <v>26</v>
      </c>
      <c r="G111" s="52"/>
      <c r="H111" s="40" t="s">
        <v>114</v>
      </c>
      <c r="I111" s="36" t="s">
        <v>108</v>
      </c>
      <c r="J111" s="42" t="s">
        <v>445</v>
      </c>
      <c r="K111" s="42" t="s">
        <v>446</v>
      </c>
      <c r="L111" s="42" t="s">
        <v>447</v>
      </c>
      <c r="M111" s="59" t="n">
        <v>46023</v>
      </c>
      <c r="N111" s="59" t="n">
        <v>46477</v>
      </c>
      <c r="O111" s="55" t="n">
        <v>799</v>
      </c>
      <c r="P111" s="55" t="n">
        <v>1300</v>
      </c>
      <c r="Q111" s="55" t="n">
        <v>50</v>
      </c>
      <c r="R111" s="56"/>
      <c r="S111" s="56"/>
      <c r="T111" s="57" t="n">
        <v>0.05</v>
      </c>
      <c r="U111" s="45" t="n">
        <f aca="false">P111*T111</f>
        <v>65</v>
      </c>
      <c r="V111" s="33" t="n">
        <f aca="false">SUM(U111,(U111*0.05))</f>
        <v>68.25</v>
      </c>
      <c r="W111" s="46" t="n">
        <f aca="false">P111+Q111+R111+S111</f>
        <v>1350</v>
      </c>
      <c r="X111" s="34" t="n">
        <f aca="false">SUM(P111:S111)-V111</f>
        <v>1281.75</v>
      </c>
      <c r="Y111" s="42"/>
    </row>
    <row r="112" customFormat="false" ht="22.5" hidden="false" customHeight="true" outlineLevel="0" collapsed="false">
      <c r="A112" s="113" t="n">
        <v>46000</v>
      </c>
      <c r="B112" s="22" t="s">
        <v>103</v>
      </c>
      <c r="C112" s="94" t="s">
        <v>431</v>
      </c>
      <c r="D112" s="23" t="s">
        <v>432</v>
      </c>
      <c r="E112" s="25" t="s">
        <v>448</v>
      </c>
      <c r="F112" s="58" t="s">
        <v>26</v>
      </c>
      <c r="G112" s="47"/>
      <c r="H112" s="26" t="s">
        <v>114</v>
      </c>
      <c r="I112" s="22" t="s">
        <v>108</v>
      </c>
      <c r="J112" s="28" t="s">
        <v>449</v>
      </c>
      <c r="K112" s="28" t="s">
        <v>450</v>
      </c>
      <c r="L112" s="28" t="s">
        <v>451</v>
      </c>
      <c r="M112" s="54" t="n">
        <v>46082</v>
      </c>
      <c r="N112" s="54" t="n">
        <v>46446</v>
      </c>
      <c r="O112" s="30" t="n">
        <v>799</v>
      </c>
      <c r="P112" s="30" t="n">
        <v>2200</v>
      </c>
      <c r="Q112" s="30" t="n">
        <v>50</v>
      </c>
      <c r="R112" s="30" t="n">
        <v>100</v>
      </c>
      <c r="S112" s="50"/>
      <c r="T112" s="32" t="n">
        <v>0.05</v>
      </c>
      <c r="U112" s="33" t="n">
        <f aca="false">P112*T112</f>
        <v>110</v>
      </c>
      <c r="V112" s="33" t="n">
        <f aca="false">SUM(U112,(U112*0.05))</f>
        <v>115.5</v>
      </c>
      <c r="W112" s="34" t="n">
        <f aca="false">P112+Q112+R112+S112</f>
        <v>2350</v>
      </c>
      <c r="X112" s="34" t="n">
        <f aca="false">SUM(P112:S112)-V112</f>
        <v>2234.5</v>
      </c>
      <c r="Y112" s="28"/>
    </row>
    <row r="113" customFormat="false" ht="22.5" hidden="false" customHeight="true" outlineLevel="0" collapsed="false">
      <c r="A113" s="113" t="n">
        <v>46000</v>
      </c>
      <c r="B113" s="36" t="s">
        <v>103</v>
      </c>
      <c r="C113" s="96" t="s">
        <v>431</v>
      </c>
      <c r="D113" s="37" t="s">
        <v>432</v>
      </c>
      <c r="E113" s="39" t="s">
        <v>452</v>
      </c>
      <c r="F113" s="51" t="s">
        <v>26</v>
      </c>
      <c r="G113" s="52"/>
      <c r="H113" s="40" t="s">
        <v>114</v>
      </c>
      <c r="I113" s="36" t="s">
        <v>108</v>
      </c>
      <c r="J113" s="42" t="s">
        <v>453</v>
      </c>
      <c r="K113" s="42" t="s">
        <v>454</v>
      </c>
      <c r="L113" s="53" t="s">
        <v>455</v>
      </c>
      <c r="M113" s="59" t="n">
        <v>46054</v>
      </c>
      <c r="N113" s="59" t="n">
        <v>46418</v>
      </c>
      <c r="O113" s="55" t="n">
        <v>799</v>
      </c>
      <c r="P113" s="55" t="n">
        <v>2200</v>
      </c>
      <c r="Q113" s="55" t="n">
        <v>50</v>
      </c>
      <c r="R113" s="55" t="n">
        <v>100</v>
      </c>
      <c r="S113" s="56"/>
      <c r="T113" s="57" t="n">
        <v>0.05</v>
      </c>
      <c r="U113" s="45" t="n">
        <f aca="false">P113*T113</f>
        <v>110</v>
      </c>
      <c r="V113" s="33" t="n">
        <f aca="false">SUM(U113,(U113*0.05))</f>
        <v>115.5</v>
      </c>
      <c r="W113" s="46" t="n">
        <f aca="false">P113+Q113+R113+S113</f>
        <v>2350</v>
      </c>
      <c r="X113" s="34" t="n">
        <f aca="false">SUM(P113:S113)-V113</f>
        <v>2234.5</v>
      </c>
      <c r="Y113" s="42"/>
    </row>
    <row r="114" customFormat="false" ht="22.5" hidden="false" customHeight="true" outlineLevel="0" collapsed="false">
      <c r="A114" s="113" t="n">
        <v>46000</v>
      </c>
      <c r="B114" s="22" t="s">
        <v>103</v>
      </c>
      <c r="C114" s="94" t="s">
        <v>431</v>
      </c>
      <c r="D114" s="23" t="s">
        <v>432</v>
      </c>
      <c r="E114" s="25" t="s">
        <v>456</v>
      </c>
      <c r="F114" s="58" t="s">
        <v>26</v>
      </c>
      <c r="G114" s="47"/>
      <c r="H114" s="26" t="s">
        <v>114</v>
      </c>
      <c r="I114" s="22" t="s">
        <v>108</v>
      </c>
      <c r="J114" s="48" t="s">
        <v>457</v>
      </c>
      <c r="K114" s="48" t="s">
        <v>458</v>
      </c>
      <c r="L114" s="48" t="s">
        <v>459</v>
      </c>
      <c r="M114" s="54" t="n">
        <v>46054</v>
      </c>
      <c r="N114" s="54" t="n">
        <v>46418</v>
      </c>
      <c r="O114" s="30" t="n">
        <v>799</v>
      </c>
      <c r="P114" s="30" t="n">
        <v>2300</v>
      </c>
      <c r="Q114" s="30" t="n">
        <v>50</v>
      </c>
      <c r="R114" s="30" t="n">
        <v>100</v>
      </c>
      <c r="S114" s="50"/>
      <c r="T114" s="32" t="n">
        <v>0.05</v>
      </c>
      <c r="U114" s="33" t="n">
        <f aca="false">P114*T114</f>
        <v>115</v>
      </c>
      <c r="V114" s="33" t="n">
        <f aca="false">SUM(U114,(U114*0.05))</f>
        <v>120.75</v>
      </c>
      <c r="W114" s="34" t="n">
        <f aca="false">P114+Q114+R114+S114</f>
        <v>2450</v>
      </c>
      <c r="X114" s="34" t="n">
        <f aca="false">SUM(P114:S114)-V114</f>
        <v>2329.25</v>
      </c>
      <c r="Y114" s="28"/>
    </row>
    <row r="115" customFormat="false" ht="22.5" hidden="false" customHeight="true" outlineLevel="0" collapsed="false">
      <c r="A115" s="113" t="n">
        <v>46000</v>
      </c>
      <c r="B115" s="36" t="s">
        <v>103</v>
      </c>
      <c r="C115" s="96" t="s">
        <v>431</v>
      </c>
      <c r="D115" s="37" t="s">
        <v>432</v>
      </c>
      <c r="E115" s="39" t="s">
        <v>460</v>
      </c>
      <c r="F115" s="51" t="s">
        <v>26</v>
      </c>
      <c r="G115" s="52"/>
      <c r="H115" s="40" t="s">
        <v>114</v>
      </c>
      <c r="I115" s="36" t="s">
        <v>108</v>
      </c>
      <c r="J115" s="60" t="s">
        <v>461</v>
      </c>
      <c r="K115" s="42" t="s">
        <v>462</v>
      </c>
      <c r="L115" s="42" t="s">
        <v>463</v>
      </c>
      <c r="M115" s="54" t="n">
        <v>46054</v>
      </c>
      <c r="N115" s="54" t="n">
        <v>46418</v>
      </c>
      <c r="O115" s="55" t="n">
        <v>799</v>
      </c>
      <c r="P115" s="55" t="n">
        <v>2300</v>
      </c>
      <c r="Q115" s="55" t="n">
        <v>50</v>
      </c>
      <c r="R115" s="55" t="n">
        <v>100</v>
      </c>
      <c r="S115" s="56"/>
      <c r="T115" s="57" t="n">
        <v>0.05</v>
      </c>
      <c r="U115" s="45" t="n">
        <f aca="false">P115*T115</f>
        <v>115</v>
      </c>
      <c r="V115" s="33" t="n">
        <f aca="false">SUM(U115,(U115*0.05))</f>
        <v>120.75</v>
      </c>
      <c r="W115" s="46" t="n">
        <f aca="false">P115+Q115+R115+S115</f>
        <v>2450</v>
      </c>
      <c r="X115" s="34" t="n">
        <f aca="false">SUM(P115:S115)-V115</f>
        <v>2329.25</v>
      </c>
      <c r="Y115" s="42"/>
    </row>
    <row r="116" customFormat="false" ht="22.5" hidden="false" customHeight="true" outlineLevel="0" collapsed="false">
      <c r="A116" s="113" t="n">
        <v>46046</v>
      </c>
      <c r="B116" s="22" t="s">
        <v>103</v>
      </c>
      <c r="C116" s="94" t="s">
        <v>464</v>
      </c>
      <c r="D116" s="23" t="s">
        <v>465</v>
      </c>
      <c r="E116" s="25" t="n">
        <v>303</v>
      </c>
      <c r="F116" s="76" t="s">
        <v>26</v>
      </c>
      <c r="G116" s="47"/>
      <c r="H116" s="26" t="s">
        <v>114</v>
      </c>
      <c r="I116" s="22" t="s">
        <v>108</v>
      </c>
      <c r="J116" s="60" t="s">
        <v>466</v>
      </c>
      <c r="K116" s="60" t="s">
        <v>467</v>
      </c>
      <c r="L116" s="42" t="s">
        <v>468</v>
      </c>
      <c r="M116" s="59" t="n">
        <v>45901</v>
      </c>
      <c r="N116" s="59" t="n">
        <v>46265</v>
      </c>
      <c r="O116" s="30" t="n">
        <v>699</v>
      </c>
      <c r="P116" s="30" t="n">
        <v>1875</v>
      </c>
      <c r="Q116" s="50"/>
      <c r="R116" s="50"/>
      <c r="S116" s="50"/>
      <c r="T116" s="32" t="n">
        <v>0.08</v>
      </c>
      <c r="U116" s="33" t="n">
        <f aca="false">P116*T116</f>
        <v>150</v>
      </c>
      <c r="V116" s="33" t="n">
        <f aca="false">SUM(U116,(U116*0.05))</f>
        <v>157.5</v>
      </c>
      <c r="W116" s="34" t="n">
        <f aca="false">P116+Q116+R116+S116</f>
        <v>1875</v>
      </c>
      <c r="X116" s="34" t="n">
        <f aca="false">SUM(P116:S116)-V116</f>
        <v>1717.5</v>
      </c>
      <c r="Y116" s="28"/>
    </row>
    <row r="117" customFormat="false" ht="22.5" hidden="false" customHeight="true" outlineLevel="0" collapsed="false">
      <c r="A117" s="105" t="n">
        <v>46046</v>
      </c>
      <c r="B117" s="36" t="s">
        <v>103</v>
      </c>
      <c r="C117" s="96" t="s">
        <v>469</v>
      </c>
      <c r="D117" s="37" t="s">
        <v>470</v>
      </c>
      <c r="E117" s="39" t="s">
        <v>106</v>
      </c>
      <c r="F117" s="51" t="s">
        <v>26</v>
      </c>
      <c r="G117" s="52"/>
      <c r="H117" s="40" t="s">
        <v>114</v>
      </c>
      <c r="I117" s="36" t="s">
        <v>108</v>
      </c>
      <c r="J117" s="60" t="s">
        <v>471</v>
      </c>
      <c r="K117" s="60" t="s">
        <v>472</v>
      </c>
      <c r="L117" s="60" t="s">
        <v>473</v>
      </c>
      <c r="M117" s="61" t="n">
        <v>46143</v>
      </c>
      <c r="N117" s="54" t="n">
        <v>46507</v>
      </c>
      <c r="O117" s="55" t="n">
        <v>699</v>
      </c>
      <c r="P117" s="55" t="n">
        <v>1900</v>
      </c>
      <c r="Q117" s="56"/>
      <c r="R117" s="56"/>
      <c r="S117" s="56"/>
      <c r="T117" s="57" t="n">
        <v>0.07</v>
      </c>
      <c r="U117" s="45" t="n">
        <f aca="false">P117*T117</f>
        <v>133</v>
      </c>
      <c r="V117" s="33" t="n">
        <f aca="false">SUM(U117,(U117*0.05))</f>
        <v>139.65</v>
      </c>
      <c r="W117" s="46" t="n">
        <f aca="false">P117+Q117+R117+S117</f>
        <v>1900</v>
      </c>
      <c r="X117" s="34" t="n">
        <f aca="false">SUM(P117:S117)-V117</f>
        <v>1760.35</v>
      </c>
      <c r="Y117" s="42"/>
    </row>
    <row r="118" customFormat="false" ht="22.5" hidden="false" customHeight="true" outlineLevel="0" collapsed="false">
      <c r="A118" s="113" t="n">
        <v>46085</v>
      </c>
      <c r="B118" s="22" t="s">
        <v>103</v>
      </c>
      <c r="C118" s="94" t="s">
        <v>469</v>
      </c>
      <c r="D118" s="23" t="s">
        <v>470</v>
      </c>
      <c r="E118" s="25" t="s">
        <v>109</v>
      </c>
      <c r="F118" s="58" t="s">
        <v>26</v>
      </c>
      <c r="G118" s="47"/>
      <c r="H118" s="26" t="s">
        <v>114</v>
      </c>
      <c r="I118" s="22" t="s">
        <v>108</v>
      </c>
      <c r="J118" s="28" t="s">
        <v>474</v>
      </c>
      <c r="K118" s="28" t="s">
        <v>475</v>
      </c>
      <c r="L118" s="28" t="s">
        <v>476</v>
      </c>
      <c r="M118" s="61" t="n">
        <v>46143</v>
      </c>
      <c r="N118" s="54" t="n">
        <v>46507</v>
      </c>
      <c r="O118" s="30" t="n">
        <v>599</v>
      </c>
      <c r="P118" s="30" t="n">
        <v>1500</v>
      </c>
      <c r="Q118" s="50" t="n">
        <v>75</v>
      </c>
      <c r="R118" s="30" t="n">
        <v>100</v>
      </c>
      <c r="S118" s="50"/>
      <c r="T118" s="32" t="n">
        <v>0.07</v>
      </c>
      <c r="U118" s="33" t="n">
        <f aca="false">P118*T118</f>
        <v>105</v>
      </c>
      <c r="V118" s="33" t="n">
        <f aca="false">SUM(U118,(U118*0.05))</f>
        <v>110.25</v>
      </c>
      <c r="W118" s="34" t="n">
        <f aca="false">P118+Q118+R118+S118</f>
        <v>1675</v>
      </c>
      <c r="X118" s="34" t="n">
        <f aca="false">SUM(P118:S118)-V118</f>
        <v>1564.75</v>
      </c>
      <c r="Y118" s="28"/>
    </row>
    <row r="119" customFormat="false" ht="22.5" hidden="false" customHeight="true" outlineLevel="0" collapsed="false">
      <c r="A119" s="105" t="n">
        <v>46040</v>
      </c>
      <c r="B119" s="36" t="s">
        <v>103</v>
      </c>
      <c r="C119" s="96" t="s">
        <v>477</v>
      </c>
      <c r="D119" s="37" t="s">
        <v>478</v>
      </c>
      <c r="E119" s="39" t="s">
        <v>320</v>
      </c>
      <c r="F119" s="92" t="s">
        <v>26</v>
      </c>
      <c r="G119" s="52"/>
      <c r="H119" s="40" t="s">
        <v>114</v>
      </c>
      <c r="I119" s="36" t="s">
        <v>108</v>
      </c>
      <c r="J119" s="48" t="s">
        <v>479</v>
      </c>
      <c r="K119" s="48" t="s">
        <v>480</v>
      </c>
      <c r="L119" s="28"/>
      <c r="M119" s="61" t="n">
        <v>46143</v>
      </c>
      <c r="N119" s="54" t="n">
        <v>46507</v>
      </c>
      <c r="O119" s="55" t="n">
        <v>799</v>
      </c>
      <c r="P119" s="55" t="n">
        <v>1950</v>
      </c>
      <c r="Q119" s="56"/>
      <c r="R119" s="56"/>
      <c r="S119" s="56"/>
      <c r="T119" s="57" t="n">
        <v>0.07</v>
      </c>
      <c r="U119" s="45" t="n">
        <f aca="false">P119*T119</f>
        <v>136.5</v>
      </c>
      <c r="V119" s="33" t="n">
        <f aca="false">SUM(U119,(U119*0.05))</f>
        <v>143.325</v>
      </c>
      <c r="W119" s="46" t="n">
        <f aca="false">P119+Q119+R119+S119</f>
        <v>1950</v>
      </c>
      <c r="X119" s="34" t="n">
        <f aca="false">SUM(P119:S119)-V119</f>
        <v>1806.675</v>
      </c>
      <c r="Y119" s="42"/>
    </row>
    <row r="120" customFormat="false" ht="22.5" hidden="false" customHeight="true" outlineLevel="0" collapsed="false">
      <c r="A120" s="116" t="n">
        <v>45992</v>
      </c>
      <c r="B120" s="22" t="s">
        <v>103</v>
      </c>
      <c r="C120" s="90" t="s">
        <v>481</v>
      </c>
      <c r="D120" s="80" t="s">
        <v>482</v>
      </c>
      <c r="E120" s="81"/>
      <c r="F120" s="76" t="s">
        <v>26</v>
      </c>
      <c r="G120" s="83"/>
      <c r="H120" s="22" t="s">
        <v>107</v>
      </c>
      <c r="I120" s="76" t="s">
        <v>341</v>
      </c>
      <c r="J120" s="84"/>
      <c r="K120" s="84"/>
      <c r="L120" s="84"/>
      <c r="M120" s="85"/>
      <c r="N120" s="83"/>
      <c r="O120" s="86"/>
      <c r="P120" s="86"/>
      <c r="Q120" s="86"/>
      <c r="R120" s="86"/>
      <c r="S120" s="86"/>
      <c r="T120" s="100"/>
      <c r="U120" s="88" t="n">
        <f aca="false">P120*T120</f>
        <v>0</v>
      </c>
      <c r="V120" s="88"/>
      <c r="W120" s="89" t="n">
        <f aca="false">P120+Q120+R120+S120</f>
        <v>0</v>
      </c>
      <c r="X120" s="89" t="n">
        <f aca="false">SUM(P120:S120)-U120</f>
        <v>0</v>
      </c>
      <c r="Y120" s="84"/>
    </row>
    <row r="121" customFormat="false" ht="22.5" hidden="false" customHeight="true" outlineLevel="0" collapsed="false">
      <c r="A121" s="52" t="s">
        <v>331</v>
      </c>
      <c r="B121" s="36" t="s">
        <v>103</v>
      </c>
      <c r="C121" s="96" t="s">
        <v>483</v>
      </c>
      <c r="D121" s="37" t="s">
        <v>484</v>
      </c>
      <c r="E121" s="39" t="s">
        <v>320</v>
      </c>
      <c r="F121" s="92" t="s">
        <v>26</v>
      </c>
      <c r="G121" s="52"/>
      <c r="H121" s="40" t="s">
        <v>114</v>
      </c>
      <c r="I121" s="36" t="s">
        <v>108</v>
      </c>
      <c r="J121" s="60" t="s">
        <v>485</v>
      </c>
      <c r="K121" s="60" t="s">
        <v>486</v>
      </c>
      <c r="L121" s="60" t="s">
        <v>487</v>
      </c>
      <c r="M121" s="62" t="n">
        <v>46143</v>
      </c>
      <c r="N121" s="59" t="n">
        <v>46507</v>
      </c>
      <c r="O121" s="55" t="n">
        <v>699</v>
      </c>
      <c r="P121" s="55" t="n">
        <v>2300</v>
      </c>
      <c r="Q121" s="55" t="n">
        <v>50</v>
      </c>
      <c r="R121" s="56"/>
      <c r="S121" s="56"/>
      <c r="T121" s="57" t="n">
        <v>0.07</v>
      </c>
      <c r="U121" s="45" t="n">
        <f aca="false">P121*T121</f>
        <v>161</v>
      </c>
      <c r="V121" s="33" t="n">
        <f aca="false">SUM(U121,(U121*0.05))</f>
        <v>169.05</v>
      </c>
      <c r="W121" s="46" t="n">
        <f aca="false">P121+Q121+R121+S121</f>
        <v>2350</v>
      </c>
      <c r="X121" s="34" t="n">
        <f aca="false">SUM(P121:S121)-V121</f>
        <v>2180.95</v>
      </c>
      <c r="Y121" s="42"/>
    </row>
    <row r="122" customFormat="false" ht="22.5" hidden="false" customHeight="true" outlineLevel="0" collapsed="false">
      <c r="A122" s="47" t="s">
        <v>331</v>
      </c>
      <c r="B122" s="22" t="s">
        <v>103</v>
      </c>
      <c r="C122" s="94" t="s">
        <v>483</v>
      </c>
      <c r="D122" s="23" t="s">
        <v>488</v>
      </c>
      <c r="E122" s="25" t="s">
        <v>320</v>
      </c>
      <c r="F122" s="76" t="s">
        <v>26</v>
      </c>
      <c r="G122" s="47"/>
      <c r="H122" s="26" t="s">
        <v>114</v>
      </c>
      <c r="I122" s="22" t="s">
        <v>108</v>
      </c>
      <c r="J122" s="48" t="s">
        <v>489</v>
      </c>
      <c r="K122" s="48" t="s">
        <v>490</v>
      </c>
      <c r="L122" s="48" t="s">
        <v>491</v>
      </c>
      <c r="M122" s="61" t="n">
        <v>46143</v>
      </c>
      <c r="N122" s="54" t="n">
        <v>46507</v>
      </c>
      <c r="O122" s="30" t="n">
        <v>699</v>
      </c>
      <c r="P122" s="30" t="n">
        <v>1875</v>
      </c>
      <c r="Q122" s="50"/>
      <c r="R122" s="50"/>
      <c r="S122" s="50"/>
      <c r="T122" s="32" t="n">
        <v>0.07</v>
      </c>
      <c r="U122" s="33" t="n">
        <f aca="false">P122*T122</f>
        <v>131.25</v>
      </c>
      <c r="V122" s="33" t="n">
        <f aca="false">SUM(U122,(U122*0.05))</f>
        <v>137.8125</v>
      </c>
      <c r="W122" s="34" t="n">
        <f aca="false">P122+Q122+R122+S122</f>
        <v>1875</v>
      </c>
      <c r="X122" s="34" t="n">
        <f aca="false">SUM(P122:S122)-V122</f>
        <v>1737.1875</v>
      </c>
      <c r="Y122" s="28"/>
    </row>
    <row r="123" customFormat="false" ht="22.5" hidden="false" customHeight="true" outlineLevel="0" collapsed="false">
      <c r="A123" s="116" t="n">
        <v>46110</v>
      </c>
      <c r="B123" s="36" t="s">
        <v>103</v>
      </c>
      <c r="C123" s="90" t="s">
        <v>492</v>
      </c>
      <c r="D123" s="80" t="s">
        <v>493</v>
      </c>
      <c r="E123" s="81"/>
      <c r="F123" s="92" t="s">
        <v>26</v>
      </c>
      <c r="G123" s="83"/>
      <c r="H123" s="36" t="s">
        <v>107</v>
      </c>
      <c r="I123" s="92" t="s">
        <v>341</v>
      </c>
      <c r="J123" s="84"/>
      <c r="K123" s="84"/>
      <c r="L123" s="84"/>
      <c r="M123" s="85"/>
      <c r="N123" s="83"/>
      <c r="O123" s="86"/>
      <c r="P123" s="86"/>
      <c r="Q123" s="86"/>
      <c r="R123" s="86"/>
      <c r="S123" s="86"/>
      <c r="T123" s="100"/>
      <c r="U123" s="88" t="n">
        <f aca="false">P123*T123</f>
        <v>0</v>
      </c>
      <c r="V123" s="88"/>
      <c r="W123" s="89" t="n">
        <f aca="false">P123+Q123+R123+S123</f>
        <v>0</v>
      </c>
      <c r="X123" s="89" t="n">
        <f aca="false">SUM(P123:S123)-U123</f>
        <v>0</v>
      </c>
      <c r="Y123" s="84"/>
    </row>
    <row r="124" customFormat="false" ht="22.5" hidden="false" customHeight="true" outlineLevel="0" collapsed="false">
      <c r="A124" s="116" t="n">
        <v>46039</v>
      </c>
      <c r="B124" s="22" t="s">
        <v>103</v>
      </c>
      <c r="C124" s="90" t="s">
        <v>494</v>
      </c>
      <c r="D124" s="80" t="s">
        <v>495</v>
      </c>
      <c r="E124" s="81"/>
      <c r="F124" s="76" t="s">
        <v>26</v>
      </c>
      <c r="G124" s="83"/>
      <c r="H124" s="22" t="s">
        <v>107</v>
      </c>
      <c r="I124" s="76" t="s">
        <v>341</v>
      </c>
      <c r="J124" s="84"/>
      <c r="K124" s="84"/>
      <c r="L124" s="84"/>
      <c r="M124" s="85"/>
      <c r="N124" s="83"/>
      <c r="O124" s="86"/>
      <c r="P124" s="86"/>
      <c r="Q124" s="86"/>
      <c r="R124" s="86"/>
      <c r="S124" s="86"/>
      <c r="T124" s="100"/>
      <c r="U124" s="88" t="n">
        <f aca="false">P124*T124</f>
        <v>0</v>
      </c>
      <c r="V124" s="88"/>
      <c r="W124" s="89" t="n">
        <f aca="false">P124+Q124+R124+S124</f>
        <v>0</v>
      </c>
      <c r="X124" s="89" t="n">
        <f aca="false">SUM(P124:S124)-U124</f>
        <v>0</v>
      </c>
      <c r="Y124" s="84"/>
    </row>
    <row r="125" customFormat="false" ht="22.5" hidden="false" customHeight="true" outlineLevel="0" collapsed="false">
      <c r="A125" s="105" t="n">
        <v>45996</v>
      </c>
      <c r="B125" s="36" t="s">
        <v>103</v>
      </c>
      <c r="C125" s="96" t="s">
        <v>496</v>
      </c>
      <c r="D125" s="37" t="s">
        <v>497</v>
      </c>
      <c r="E125" s="39" t="s">
        <v>155</v>
      </c>
      <c r="F125" s="92" t="s">
        <v>26</v>
      </c>
      <c r="G125" s="52"/>
      <c r="H125" s="40" t="s">
        <v>114</v>
      </c>
      <c r="I125" s="36" t="s">
        <v>108</v>
      </c>
      <c r="J125" s="60" t="s">
        <v>498</v>
      </c>
      <c r="K125" s="60" t="s">
        <v>499</v>
      </c>
      <c r="L125" s="60" t="s">
        <v>500</v>
      </c>
      <c r="M125" s="59" t="n">
        <v>46079</v>
      </c>
      <c r="N125" s="59" t="n">
        <v>46446</v>
      </c>
      <c r="O125" s="55" t="n">
        <v>599</v>
      </c>
      <c r="P125" s="55" t="n">
        <v>2300</v>
      </c>
      <c r="Q125" s="56"/>
      <c r="R125" s="56"/>
      <c r="S125" s="56"/>
      <c r="T125" s="57" t="n">
        <v>0.07</v>
      </c>
      <c r="U125" s="45" t="n">
        <f aca="false">P125*T125</f>
        <v>161</v>
      </c>
      <c r="V125" s="33" t="n">
        <f aca="false">SUM(U125,(U125*0.05))</f>
        <v>169.05</v>
      </c>
      <c r="W125" s="46" t="n">
        <f aca="false">P125+Q125+R125+S125</f>
        <v>2300</v>
      </c>
      <c r="X125" s="34" t="n">
        <f aca="false">SUM(P125:S125)-V125</f>
        <v>2130.95</v>
      </c>
      <c r="Y125" s="42"/>
    </row>
    <row r="126" customFormat="false" ht="22.5" hidden="false" customHeight="true" outlineLevel="0" collapsed="false">
      <c r="A126" s="113" t="n">
        <v>46361</v>
      </c>
      <c r="B126" s="22" t="s">
        <v>103</v>
      </c>
      <c r="C126" s="94" t="s">
        <v>496</v>
      </c>
      <c r="D126" s="23" t="s">
        <v>497</v>
      </c>
      <c r="E126" s="25" t="s">
        <v>109</v>
      </c>
      <c r="F126" s="76" t="s">
        <v>26</v>
      </c>
      <c r="G126" s="47"/>
      <c r="H126" s="26" t="s">
        <v>114</v>
      </c>
      <c r="I126" s="22" t="s">
        <v>108</v>
      </c>
      <c r="J126" s="28" t="s">
        <v>501</v>
      </c>
      <c r="K126" s="28" t="s">
        <v>502</v>
      </c>
      <c r="L126" s="28" t="s">
        <v>503</v>
      </c>
      <c r="M126" s="117"/>
      <c r="N126" s="118"/>
      <c r="O126" s="30" t="n">
        <v>599</v>
      </c>
      <c r="P126" s="30" t="n">
        <v>1150</v>
      </c>
      <c r="Q126" s="50"/>
      <c r="R126" s="50"/>
      <c r="S126" s="50"/>
      <c r="T126" s="32" t="n">
        <v>0.07</v>
      </c>
      <c r="U126" s="33" t="n">
        <f aca="false">P126*T126</f>
        <v>80.5</v>
      </c>
      <c r="V126" s="33" t="n">
        <f aca="false">SUM(U126,(U126*0.05))</f>
        <v>84.525</v>
      </c>
      <c r="W126" s="34" t="n">
        <f aca="false">P126+Q126+R126+S126</f>
        <v>1150</v>
      </c>
      <c r="X126" s="34" t="n">
        <f aca="false">SUM(P126:S126)-V126</f>
        <v>1065.475</v>
      </c>
      <c r="Y126" s="28"/>
    </row>
    <row r="127" customFormat="false" ht="22.5" hidden="false" customHeight="true" outlineLevel="0" collapsed="false">
      <c r="A127" s="116" t="n">
        <v>45986</v>
      </c>
      <c r="B127" s="36" t="s">
        <v>103</v>
      </c>
      <c r="C127" s="90" t="s">
        <v>504</v>
      </c>
      <c r="D127" s="80" t="s">
        <v>505</v>
      </c>
      <c r="E127" s="81"/>
      <c r="F127" s="92" t="s">
        <v>26</v>
      </c>
      <c r="G127" s="83"/>
      <c r="H127" s="36" t="s">
        <v>107</v>
      </c>
      <c r="I127" s="92" t="s">
        <v>341</v>
      </c>
      <c r="J127" s="84"/>
      <c r="K127" s="84"/>
      <c r="L127" s="84"/>
      <c r="M127" s="85"/>
      <c r="N127" s="83"/>
      <c r="O127" s="86"/>
      <c r="P127" s="86"/>
      <c r="Q127" s="86"/>
      <c r="R127" s="86"/>
      <c r="S127" s="86"/>
      <c r="T127" s="100"/>
      <c r="U127" s="88" t="n">
        <f aca="false">P127*T127</f>
        <v>0</v>
      </c>
      <c r="V127" s="88"/>
      <c r="W127" s="89" t="n">
        <f aca="false">P127+Q127+R127+S127</f>
        <v>0</v>
      </c>
      <c r="X127" s="89" t="n">
        <f aca="false">SUM(P127:S127)-U127</f>
        <v>0</v>
      </c>
      <c r="Y127" s="84"/>
    </row>
    <row r="128" customFormat="false" ht="22.5" hidden="false" customHeight="true" outlineLevel="0" collapsed="false">
      <c r="A128" s="113" t="n">
        <v>46001</v>
      </c>
      <c r="B128" s="22" t="s">
        <v>103</v>
      </c>
      <c r="C128" s="94" t="s">
        <v>506</v>
      </c>
      <c r="D128" s="23" t="s">
        <v>507</v>
      </c>
      <c r="E128" s="25" t="s">
        <v>320</v>
      </c>
      <c r="F128" s="76" t="s">
        <v>26</v>
      </c>
      <c r="G128" s="47"/>
      <c r="H128" s="26" t="s">
        <v>114</v>
      </c>
      <c r="I128" s="22" t="s">
        <v>108</v>
      </c>
      <c r="J128" s="28" t="s">
        <v>508</v>
      </c>
      <c r="K128" s="28" t="s">
        <v>509</v>
      </c>
      <c r="L128" s="28"/>
      <c r="M128" s="54" t="n">
        <v>45962</v>
      </c>
      <c r="N128" s="54" t="n">
        <v>46326</v>
      </c>
      <c r="O128" s="30" t="n">
        <v>799</v>
      </c>
      <c r="P128" s="30" t="n">
        <v>2200</v>
      </c>
      <c r="Q128" s="50"/>
      <c r="R128" s="50"/>
      <c r="S128" s="50"/>
      <c r="T128" s="32" t="n">
        <v>0.07</v>
      </c>
      <c r="U128" s="33" t="n">
        <f aca="false">P128*T128</f>
        <v>154</v>
      </c>
      <c r="V128" s="33" t="n">
        <f aca="false">SUM(U128,(U128*0.05))</f>
        <v>161.7</v>
      </c>
      <c r="W128" s="34" t="n">
        <f aca="false">P128+Q128+R128+S128</f>
        <v>2200</v>
      </c>
      <c r="X128" s="34" t="n">
        <f aca="false">SUM(P128:S128)-V128</f>
        <v>2038.3</v>
      </c>
      <c r="Y128" s="28"/>
    </row>
    <row r="129" customFormat="false" ht="22.5" hidden="false" customHeight="true" outlineLevel="0" collapsed="false">
      <c r="A129" s="101" t="n">
        <v>46189</v>
      </c>
      <c r="B129" s="36" t="s">
        <v>103</v>
      </c>
      <c r="C129" s="102" t="s">
        <v>510</v>
      </c>
      <c r="D129" s="38" t="s">
        <v>511</v>
      </c>
      <c r="E129" s="39" t="s">
        <v>155</v>
      </c>
      <c r="F129" s="40" t="s">
        <v>25</v>
      </c>
      <c r="G129" s="41"/>
      <c r="H129" s="36" t="s">
        <v>107</v>
      </c>
      <c r="I129" s="36" t="s">
        <v>108</v>
      </c>
      <c r="J129" s="42"/>
      <c r="K129" s="42"/>
      <c r="L129" s="42"/>
      <c r="M129" s="43"/>
      <c r="N129" s="41"/>
      <c r="O129" s="30" t="n">
        <v>599</v>
      </c>
      <c r="P129" s="44"/>
      <c r="Q129" s="44"/>
      <c r="R129" s="44"/>
      <c r="S129" s="44"/>
      <c r="T129" s="32" t="n">
        <v>0.05</v>
      </c>
      <c r="U129" s="45" t="n">
        <f aca="false">P129*T129</f>
        <v>0</v>
      </c>
      <c r="V129" s="45"/>
      <c r="W129" s="46" t="n">
        <f aca="false">P129+Q129+R129+S129</f>
        <v>0</v>
      </c>
      <c r="X129" s="46" t="n">
        <f aca="false">SUM(P129:S129)-U129</f>
        <v>0</v>
      </c>
      <c r="Y129" s="42"/>
    </row>
    <row r="130" customFormat="false" ht="22.5" hidden="false" customHeight="true" outlineLevel="0" collapsed="false">
      <c r="A130" s="101" t="n">
        <v>46189</v>
      </c>
      <c r="B130" s="22" t="s">
        <v>103</v>
      </c>
      <c r="C130" s="110" t="s">
        <v>510</v>
      </c>
      <c r="D130" s="24" t="s">
        <v>511</v>
      </c>
      <c r="E130" s="25" t="s">
        <v>109</v>
      </c>
      <c r="F130" s="26" t="s">
        <v>25</v>
      </c>
      <c r="G130" s="27"/>
      <c r="H130" s="22" t="s">
        <v>107</v>
      </c>
      <c r="I130" s="22" t="s">
        <v>108</v>
      </c>
      <c r="J130" s="28"/>
      <c r="K130" s="28"/>
      <c r="L130" s="28"/>
      <c r="M130" s="29"/>
      <c r="N130" s="27"/>
      <c r="O130" s="30" t="n">
        <v>599</v>
      </c>
      <c r="P130" s="31"/>
      <c r="Q130" s="31"/>
      <c r="R130" s="31"/>
      <c r="S130" s="31"/>
      <c r="T130" s="32" t="n">
        <v>0.05</v>
      </c>
      <c r="U130" s="33" t="n">
        <f aca="false">P130*T130</f>
        <v>0</v>
      </c>
      <c r="V130" s="33"/>
      <c r="W130" s="34" t="n">
        <f aca="false">P130+Q130+R130+S130</f>
        <v>0</v>
      </c>
      <c r="X130" s="34" t="n">
        <f aca="false">SUM(P130:S130)-U130</f>
        <v>0</v>
      </c>
      <c r="Y130" s="28"/>
    </row>
    <row r="131" customFormat="false" ht="22.5" hidden="false" customHeight="true" outlineLevel="0" collapsed="false">
      <c r="A131" s="101" t="n">
        <v>46189</v>
      </c>
      <c r="B131" s="36" t="s">
        <v>103</v>
      </c>
      <c r="C131" s="102" t="s">
        <v>510</v>
      </c>
      <c r="D131" s="38" t="s">
        <v>512</v>
      </c>
      <c r="E131" s="39" t="s">
        <v>155</v>
      </c>
      <c r="F131" s="40" t="s">
        <v>25</v>
      </c>
      <c r="G131" s="41"/>
      <c r="H131" s="36" t="s">
        <v>107</v>
      </c>
      <c r="I131" s="36" t="s">
        <v>108</v>
      </c>
      <c r="J131" s="42"/>
      <c r="K131" s="42"/>
      <c r="L131" s="42"/>
      <c r="M131" s="43"/>
      <c r="N131" s="41"/>
      <c r="O131" s="30" t="n">
        <v>599</v>
      </c>
      <c r="P131" s="44"/>
      <c r="Q131" s="44"/>
      <c r="R131" s="44"/>
      <c r="S131" s="44"/>
      <c r="T131" s="32" t="n">
        <v>0.05</v>
      </c>
      <c r="U131" s="45" t="n">
        <f aca="false">P131*T131</f>
        <v>0</v>
      </c>
      <c r="V131" s="45"/>
      <c r="W131" s="46" t="n">
        <f aca="false">P131+Q131+R131+S131</f>
        <v>0</v>
      </c>
      <c r="X131" s="46" t="n">
        <f aca="false">SUM(P131:S131)-U131</f>
        <v>0</v>
      </c>
      <c r="Y131" s="42"/>
    </row>
    <row r="132" customFormat="false" ht="22.5" hidden="false" customHeight="true" outlineLevel="0" collapsed="false">
      <c r="A132" s="101" t="n">
        <v>46189</v>
      </c>
      <c r="B132" s="22" t="s">
        <v>103</v>
      </c>
      <c r="C132" s="110" t="s">
        <v>510</v>
      </c>
      <c r="D132" s="24" t="s">
        <v>512</v>
      </c>
      <c r="E132" s="25" t="s">
        <v>109</v>
      </c>
      <c r="F132" s="26" t="s">
        <v>25</v>
      </c>
      <c r="G132" s="27"/>
      <c r="H132" s="22" t="s">
        <v>107</v>
      </c>
      <c r="I132" s="22" t="s">
        <v>108</v>
      </c>
      <c r="J132" s="28"/>
      <c r="K132" s="28"/>
      <c r="L132" s="28"/>
      <c r="M132" s="29"/>
      <c r="N132" s="27"/>
      <c r="O132" s="30" t="n">
        <v>599</v>
      </c>
      <c r="P132" s="31"/>
      <c r="Q132" s="31"/>
      <c r="R132" s="31"/>
      <c r="S132" s="31"/>
      <c r="T132" s="32" t="n">
        <v>0.05</v>
      </c>
      <c r="U132" s="33" t="n">
        <f aca="false">P132*T132</f>
        <v>0</v>
      </c>
      <c r="V132" s="33"/>
      <c r="W132" s="34" t="n">
        <f aca="false">P132+Q132+R132+S132</f>
        <v>0</v>
      </c>
      <c r="X132" s="34" t="n">
        <f aca="false">SUM(P132:S132)-U132</f>
        <v>0</v>
      </c>
      <c r="Y132" s="28"/>
    </row>
    <row r="133" customFormat="false" ht="22.5" hidden="false" customHeight="true" outlineLevel="0" collapsed="false">
      <c r="A133" s="101" t="n">
        <v>46180</v>
      </c>
      <c r="B133" s="36" t="s">
        <v>103</v>
      </c>
      <c r="C133" s="102" t="s">
        <v>513</v>
      </c>
      <c r="D133" s="38" t="s">
        <v>514</v>
      </c>
      <c r="E133" s="39" t="s">
        <v>155</v>
      </c>
      <c r="F133" s="40" t="s">
        <v>25</v>
      </c>
      <c r="G133" s="41"/>
      <c r="H133" s="36" t="s">
        <v>107</v>
      </c>
      <c r="I133" s="36" t="s">
        <v>108</v>
      </c>
      <c r="J133" s="42"/>
      <c r="K133" s="42"/>
      <c r="L133" s="42"/>
      <c r="M133" s="43"/>
      <c r="N133" s="41"/>
      <c r="O133" s="30" t="n">
        <v>599</v>
      </c>
      <c r="P133" s="44"/>
      <c r="Q133" s="44"/>
      <c r="R133" s="44"/>
      <c r="S133" s="44"/>
      <c r="T133" s="32" t="n">
        <v>0.05</v>
      </c>
      <c r="U133" s="45" t="n">
        <f aca="false">P133*T133</f>
        <v>0</v>
      </c>
      <c r="V133" s="45"/>
      <c r="W133" s="46" t="n">
        <f aca="false">P133+Q133+R133+S133</f>
        <v>0</v>
      </c>
      <c r="X133" s="46" t="n">
        <f aca="false">SUM(P133:S133)-U133</f>
        <v>0</v>
      </c>
      <c r="Y133" s="42"/>
    </row>
    <row r="134" customFormat="false" ht="22.5" hidden="false" customHeight="true" outlineLevel="0" collapsed="false">
      <c r="A134" s="113" t="n">
        <v>46180</v>
      </c>
      <c r="B134" s="22" t="s">
        <v>103</v>
      </c>
      <c r="C134" s="94" t="s">
        <v>513</v>
      </c>
      <c r="D134" s="23" t="s">
        <v>514</v>
      </c>
      <c r="E134" s="25" t="s">
        <v>155</v>
      </c>
      <c r="F134" s="26" t="s">
        <v>25</v>
      </c>
      <c r="G134" s="47"/>
      <c r="H134" s="26" t="s">
        <v>114</v>
      </c>
      <c r="I134" s="22" t="s">
        <v>108</v>
      </c>
      <c r="J134" s="48" t="s">
        <v>515</v>
      </c>
      <c r="K134" s="48" t="s">
        <v>516</v>
      </c>
      <c r="L134" s="28"/>
      <c r="M134" s="67" t="n">
        <v>46204</v>
      </c>
      <c r="N134" s="119" t="n">
        <v>46387</v>
      </c>
      <c r="O134" s="30" t="n">
        <v>599</v>
      </c>
      <c r="P134" s="30" t="n">
        <v>1200</v>
      </c>
      <c r="Q134" s="50"/>
      <c r="R134" s="50"/>
      <c r="S134" s="50"/>
      <c r="T134" s="32" t="n">
        <v>0.05</v>
      </c>
      <c r="U134" s="33" t="n">
        <f aca="false">P134*T134</f>
        <v>60</v>
      </c>
      <c r="V134" s="33" t="n">
        <f aca="false">SUM(U134,(U134*0.05))</f>
        <v>63</v>
      </c>
      <c r="W134" s="34" t="n">
        <f aca="false">P134+Q134+R134+S134</f>
        <v>1200</v>
      </c>
      <c r="X134" s="34" t="n">
        <f aca="false">SUM(P134:S134)-V134</f>
        <v>1137</v>
      </c>
      <c r="Y134" s="28"/>
    </row>
    <row r="135" customFormat="false" ht="22.5" hidden="false" customHeight="true" outlineLevel="0" collapsed="false">
      <c r="A135" s="113" t="n">
        <v>46180</v>
      </c>
      <c r="B135" s="22" t="s">
        <v>103</v>
      </c>
      <c r="C135" s="94" t="s">
        <v>513</v>
      </c>
      <c r="D135" s="23" t="s">
        <v>514</v>
      </c>
      <c r="E135" s="25" t="s">
        <v>109</v>
      </c>
      <c r="F135" s="26" t="s">
        <v>25</v>
      </c>
      <c r="G135" s="47"/>
      <c r="H135" s="26" t="s">
        <v>114</v>
      </c>
      <c r="I135" s="22" t="s">
        <v>108</v>
      </c>
      <c r="J135" s="28" t="s">
        <v>517</v>
      </c>
      <c r="K135" s="28" t="s">
        <v>518</v>
      </c>
      <c r="L135" s="28" t="s">
        <v>519</v>
      </c>
      <c r="M135" s="49" t="n">
        <v>46192</v>
      </c>
      <c r="N135" s="49" t="n">
        <v>46556</v>
      </c>
      <c r="O135" s="30" t="n">
        <v>599</v>
      </c>
      <c r="P135" s="30" t="n">
        <v>1200</v>
      </c>
      <c r="Q135" s="50"/>
      <c r="R135" s="50"/>
      <c r="S135" s="50"/>
      <c r="T135" s="32" t="n">
        <v>0.05</v>
      </c>
      <c r="U135" s="33" t="n">
        <f aca="false">P135*T135</f>
        <v>60</v>
      </c>
      <c r="V135" s="33" t="n">
        <f aca="false">SUM(U135,(U135*0.05))</f>
        <v>63</v>
      </c>
      <c r="W135" s="34" t="n">
        <f aca="false">P135+Q135+R135+S135</f>
        <v>1200</v>
      </c>
      <c r="X135" s="34" t="n">
        <f aca="false">SUM(P135:S135)-V135</f>
        <v>1137</v>
      </c>
      <c r="Y135" s="28"/>
    </row>
    <row r="136" customFormat="false" ht="22.5" hidden="false" customHeight="true" outlineLevel="0" collapsed="false">
      <c r="A136" s="101" t="n">
        <v>46188</v>
      </c>
      <c r="B136" s="36" t="s">
        <v>103</v>
      </c>
      <c r="C136" s="102" t="s">
        <v>520</v>
      </c>
      <c r="D136" s="38" t="s">
        <v>521</v>
      </c>
      <c r="E136" s="39" t="s">
        <v>320</v>
      </c>
      <c r="F136" s="51" t="s">
        <v>26</v>
      </c>
      <c r="G136" s="41"/>
      <c r="H136" s="36" t="s">
        <v>107</v>
      </c>
      <c r="I136" s="36" t="s">
        <v>108</v>
      </c>
      <c r="J136" s="42"/>
      <c r="K136" s="42"/>
      <c r="L136" s="42"/>
      <c r="M136" s="43"/>
      <c r="N136" s="41"/>
      <c r="O136" s="30" t="n">
        <v>799</v>
      </c>
      <c r="P136" s="44"/>
      <c r="Q136" s="44"/>
      <c r="R136" s="44"/>
      <c r="S136" s="44"/>
      <c r="T136" s="32" t="n">
        <v>0.08</v>
      </c>
      <c r="U136" s="45" t="n">
        <f aca="false">P136*T136</f>
        <v>0</v>
      </c>
      <c r="V136" s="45"/>
      <c r="W136" s="46" t="n">
        <f aca="false">P136+Q136+R136+S136</f>
        <v>0</v>
      </c>
      <c r="X136" s="46" t="n">
        <f aca="false">SUM(P136:S136)-U136</f>
        <v>0</v>
      </c>
      <c r="Y136" s="42"/>
    </row>
    <row r="137" customFormat="false" ht="22.5" hidden="false" customHeight="true" outlineLevel="0" collapsed="false">
      <c r="A137" s="113" t="n">
        <v>46043</v>
      </c>
      <c r="B137" s="22" t="s">
        <v>103</v>
      </c>
      <c r="C137" s="94" t="s">
        <v>522</v>
      </c>
      <c r="D137" s="23" t="s">
        <v>523</v>
      </c>
      <c r="E137" s="25" t="s">
        <v>320</v>
      </c>
      <c r="F137" s="73" t="s">
        <v>30</v>
      </c>
      <c r="G137" s="47"/>
      <c r="H137" s="26" t="s">
        <v>114</v>
      </c>
      <c r="I137" s="22" t="s">
        <v>108</v>
      </c>
      <c r="J137" s="48" t="s">
        <v>524</v>
      </c>
      <c r="K137" s="48" t="s">
        <v>525</v>
      </c>
      <c r="L137" s="48" t="s">
        <v>526</v>
      </c>
      <c r="M137" s="59" t="n">
        <v>46082</v>
      </c>
      <c r="N137" s="59" t="n">
        <v>46446</v>
      </c>
      <c r="O137" s="30" t="n">
        <v>1200</v>
      </c>
      <c r="P137" s="30" t="n">
        <v>2350</v>
      </c>
      <c r="Q137" s="30" t="n">
        <v>30</v>
      </c>
      <c r="R137" s="50"/>
      <c r="S137" s="50"/>
      <c r="T137" s="32" t="n">
        <v>0.1</v>
      </c>
      <c r="U137" s="33" t="n">
        <f aca="false">P137*T137</f>
        <v>235</v>
      </c>
      <c r="V137" s="33" t="n">
        <f aca="false">SUM(U137,(U137*0.05))</f>
        <v>246.75</v>
      </c>
      <c r="W137" s="34" t="n">
        <f aca="false">P137+Q137+R137+S137</f>
        <v>2380</v>
      </c>
      <c r="X137" s="34" t="n">
        <f aca="false">SUM(P137:S137)-V137</f>
        <v>2133.25</v>
      </c>
      <c r="Y137" s="28"/>
    </row>
    <row r="138" customFormat="false" ht="22.5" hidden="false" customHeight="true" outlineLevel="0" collapsed="false">
      <c r="A138" s="105" t="n">
        <v>46077</v>
      </c>
      <c r="B138" s="36" t="s">
        <v>103</v>
      </c>
      <c r="C138" s="96" t="s">
        <v>527</v>
      </c>
      <c r="D138" s="37" t="s">
        <v>528</v>
      </c>
      <c r="E138" s="39" t="s">
        <v>106</v>
      </c>
      <c r="F138" s="40" t="s">
        <v>25</v>
      </c>
      <c r="G138" s="52"/>
      <c r="H138" s="40" t="s">
        <v>114</v>
      </c>
      <c r="I138" s="36" t="s">
        <v>108</v>
      </c>
      <c r="J138" s="60" t="s">
        <v>529</v>
      </c>
      <c r="K138" s="42" t="s">
        <v>530</v>
      </c>
      <c r="L138" s="42" t="s">
        <v>531</v>
      </c>
      <c r="M138" s="49" t="n">
        <v>46113</v>
      </c>
      <c r="N138" s="49" t="n">
        <v>46477</v>
      </c>
      <c r="O138" s="55" t="n">
        <v>799</v>
      </c>
      <c r="P138" s="55" t="n">
        <v>2150</v>
      </c>
      <c r="Q138" s="55" t="n">
        <v>50</v>
      </c>
      <c r="R138" s="56"/>
      <c r="S138" s="56"/>
      <c r="T138" s="57" t="n">
        <v>0.07</v>
      </c>
      <c r="U138" s="45" t="n">
        <f aca="false">P138*T138</f>
        <v>150.5</v>
      </c>
      <c r="V138" s="33" t="n">
        <f aca="false">SUM(U138,(U138*0.05))</f>
        <v>158.025</v>
      </c>
      <c r="W138" s="46" t="n">
        <f aca="false">P138+Q138+R138+S138</f>
        <v>2200</v>
      </c>
      <c r="X138" s="34" t="n">
        <f aca="false">SUM(P138:S138)-V138</f>
        <v>2041.975</v>
      </c>
      <c r="Y138" s="42"/>
    </row>
    <row r="139" customFormat="false" ht="22.5" hidden="false" customHeight="true" outlineLevel="0" collapsed="false">
      <c r="A139" s="120" t="n">
        <v>46077</v>
      </c>
      <c r="B139" s="22" t="s">
        <v>103</v>
      </c>
      <c r="C139" s="110" t="s">
        <v>527</v>
      </c>
      <c r="D139" s="24" t="s">
        <v>528</v>
      </c>
      <c r="E139" s="25" t="s">
        <v>109</v>
      </c>
      <c r="F139" s="26" t="s">
        <v>25</v>
      </c>
      <c r="G139" s="27"/>
      <c r="H139" s="22" t="s">
        <v>107</v>
      </c>
      <c r="I139" s="22" t="s">
        <v>108</v>
      </c>
      <c r="J139" s="121"/>
      <c r="K139" s="121"/>
      <c r="L139" s="121"/>
      <c r="M139" s="29"/>
      <c r="N139" s="27"/>
      <c r="O139" s="55" t="n">
        <v>799</v>
      </c>
      <c r="P139" s="31"/>
      <c r="Q139" s="31"/>
      <c r="R139" s="31"/>
      <c r="S139" s="31"/>
      <c r="T139" s="57" t="n">
        <v>0.07</v>
      </c>
      <c r="U139" s="122"/>
      <c r="V139" s="122"/>
      <c r="W139" s="122"/>
      <c r="X139" s="122"/>
      <c r="Y139" s="27"/>
    </row>
    <row r="140" customFormat="false" ht="22.5" hidden="false" customHeight="true" outlineLevel="0" collapsed="false">
      <c r="A140" s="105" t="n">
        <v>46101</v>
      </c>
      <c r="B140" s="36" t="s">
        <v>103</v>
      </c>
      <c r="C140" s="96" t="s">
        <v>532</v>
      </c>
      <c r="D140" s="37" t="s">
        <v>533</v>
      </c>
      <c r="E140" s="39" t="s">
        <v>155</v>
      </c>
      <c r="F140" s="40" t="s">
        <v>25</v>
      </c>
      <c r="G140" s="52"/>
      <c r="H140" s="40" t="s">
        <v>114</v>
      </c>
      <c r="I140" s="36" t="s">
        <v>108</v>
      </c>
      <c r="J140" s="60" t="s">
        <v>534</v>
      </c>
      <c r="K140" s="42" t="s">
        <v>535</v>
      </c>
      <c r="L140" s="42" t="s">
        <v>536</v>
      </c>
      <c r="M140" s="67" t="n">
        <v>46113</v>
      </c>
      <c r="N140" s="67" t="n">
        <v>46477</v>
      </c>
      <c r="O140" s="55" t="n">
        <v>599</v>
      </c>
      <c r="P140" s="55" t="n">
        <v>1850</v>
      </c>
      <c r="Q140" s="56"/>
      <c r="R140" s="56"/>
      <c r="S140" s="56"/>
      <c r="T140" s="57" t="n">
        <v>0.05</v>
      </c>
      <c r="U140" s="45" t="n">
        <f aca="false">P140*T140</f>
        <v>92.5</v>
      </c>
      <c r="V140" s="33" t="n">
        <f aca="false">SUM(U140,(U140*0.05))</f>
        <v>97.125</v>
      </c>
      <c r="W140" s="46" t="n">
        <f aca="false">P140+Q140+R140+S140</f>
        <v>1850</v>
      </c>
      <c r="X140" s="34" t="n">
        <f aca="false">SUM(P140:S140)-V140</f>
        <v>1752.875</v>
      </c>
      <c r="Y140" s="42"/>
    </row>
    <row r="141" customFormat="false" ht="22.5" hidden="false" customHeight="true" outlineLevel="0" collapsed="false">
      <c r="A141" s="113" t="n">
        <v>46101</v>
      </c>
      <c r="B141" s="22" t="s">
        <v>103</v>
      </c>
      <c r="C141" s="94" t="s">
        <v>532</v>
      </c>
      <c r="D141" s="23" t="s">
        <v>533</v>
      </c>
      <c r="E141" s="25" t="s">
        <v>109</v>
      </c>
      <c r="F141" s="26" t="s">
        <v>25</v>
      </c>
      <c r="G141" s="47"/>
      <c r="H141" s="26" t="s">
        <v>114</v>
      </c>
      <c r="I141" s="22" t="s">
        <v>108</v>
      </c>
      <c r="J141" s="28" t="s">
        <v>537</v>
      </c>
      <c r="K141" s="72" t="s">
        <v>538</v>
      </c>
      <c r="L141" s="72" t="s">
        <v>539</v>
      </c>
      <c r="M141" s="49" t="n">
        <v>46143</v>
      </c>
      <c r="N141" s="49" t="n">
        <v>46326</v>
      </c>
      <c r="O141" s="30" t="n">
        <v>599</v>
      </c>
      <c r="P141" s="30" t="n">
        <v>1400</v>
      </c>
      <c r="Q141" s="50"/>
      <c r="R141" s="50"/>
      <c r="S141" s="50"/>
      <c r="T141" s="32" t="n">
        <v>0.05</v>
      </c>
      <c r="U141" s="33" t="n">
        <f aca="false">P141*T141</f>
        <v>70</v>
      </c>
      <c r="V141" s="33" t="n">
        <f aca="false">SUM(U141,(U141*0.05))</f>
        <v>73.5</v>
      </c>
      <c r="W141" s="34" t="n">
        <f aca="false">P141+Q141+R141+S141</f>
        <v>1400</v>
      </c>
      <c r="X141" s="34" t="n">
        <f aca="false">SUM(P141:S141)-V141</f>
        <v>1326.5</v>
      </c>
      <c r="Y141" s="28"/>
    </row>
    <row r="142" customFormat="false" ht="22.5" hidden="false" customHeight="true" outlineLevel="0" collapsed="false">
      <c r="A142" s="101" t="n">
        <v>46182</v>
      </c>
      <c r="B142" s="36" t="s">
        <v>103</v>
      </c>
      <c r="C142" s="102" t="s">
        <v>540</v>
      </c>
      <c r="D142" s="38" t="s">
        <v>541</v>
      </c>
      <c r="E142" s="39" t="s">
        <v>155</v>
      </c>
      <c r="F142" s="92" t="s">
        <v>26</v>
      </c>
      <c r="G142" s="41"/>
      <c r="H142" s="36" t="s">
        <v>107</v>
      </c>
      <c r="I142" s="36" t="s">
        <v>108</v>
      </c>
      <c r="J142" s="42"/>
      <c r="K142" s="42"/>
      <c r="L142" s="42"/>
      <c r="M142" s="43"/>
      <c r="N142" s="41"/>
      <c r="O142" s="55" t="n">
        <v>799</v>
      </c>
      <c r="P142" s="44"/>
      <c r="Q142" s="44"/>
      <c r="R142" s="44"/>
      <c r="S142" s="44"/>
      <c r="T142" s="104"/>
      <c r="U142" s="45" t="n">
        <f aca="false">P142*T142</f>
        <v>0</v>
      </c>
      <c r="V142" s="45"/>
      <c r="W142" s="46" t="n">
        <f aca="false">P142+Q142+R142+S142</f>
        <v>0</v>
      </c>
      <c r="X142" s="46" t="n">
        <f aca="false">SUM(P142:S142)-U142</f>
        <v>0</v>
      </c>
      <c r="Y142" s="42"/>
    </row>
    <row r="143" customFormat="false" ht="22.5" hidden="false" customHeight="true" outlineLevel="0" collapsed="false">
      <c r="A143" s="116" t="n">
        <v>46021</v>
      </c>
      <c r="B143" s="36" t="s">
        <v>103</v>
      </c>
      <c r="C143" s="90" t="s">
        <v>542</v>
      </c>
      <c r="D143" s="80" t="s">
        <v>543</v>
      </c>
      <c r="E143" s="81"/>
      <c r="F143" s="92" t="s">
        <v>26</v>
      </c>
      <c r="G143" s="83"/>
      <c r="H143" s="36" t="s">
        <v>107</v>
      </c>
      <c r="I143" s="92" t="s">
        <v>341</v>
      </c>
      <c r="J143" s="84"/>
      <c r="K143" s="84"/>
      <c r="L143" s="84"/>
      <c r="M143" s="85"/>
      <c r="N143" s="83"/>
      <c r="O143" s="86"/>
      <c r="P143" s="86"/>
      <c r="Q143" s="86"/>
      <c r="R143" s="86"/>
      <c r="S143" s="86"/>
      <c r="T143" s="100"/>
      <c r="U143" s="88" t="n">
        <f aca="false">P143*T143</f>
        <v>0</v>
      </c>
      <c r="V143" s="88"/>
      <c r="W143" s="89" t="n">
        <f aca="false">P143+Q143+R143+S143</f>
        <v>0</v>
      </c>
      <c r="X143" s="89" t="n">
        <f aca="false">SUM(P143:S143)-U143</f>
        <v>0</v>
      </c>
      <c r="Y143" s="84"/>
    </row>
    <row r="144" customFormat="false" ht="22.5" hidden="false" customHeight="true" outlineLevel="0" collapsed="false">
      <c r="A144" s="113" t="n">
        <v>46024</v>
      </c>
      <c r="B144" s="22" t="s">
        <v>103</v>
      </c>
      <c r="C144" s="94" t="s">
        <v>544</v>
      </c>
      <c r="D144" s="23" t="s">
        <v>545</v>
      </c>
      <c r="E144" s="25" t="s">
        <v>320</v>
      </c>
      <c r="F144" s="76" t="s">
        <v>28</v>
      </c>
      <c r="G144" s="47"/>
      <c r="H144" s="26" t="s">
        <v>114</v>
      </c>
      <c r="I144" s="22" t="s">
        <v>108</v>
      </c>
      <c r="J144" s="48" t="s">
        <v>546</v>
      </c>
      <c r="K144" s="48" t="s">
        <v>547</v>
      </c>
      <c r="L144" s="48" t="s">
        <v>548</v>
      </c>
      <c r="M144" s="54" t="n">
        <v>46096</v>
      </c>
      <c r="N144" s="54" t="n">
        <v>46460</v>
      </c>
      <c r="O144" s="30" t="n">
        <v>799</v>
      </c>
      <c r="P144" s="30" t="n">
        <v>4500</v>
      </c>
      <c r="Q144" s="50"/>
      <c r="R144" s="50"/>
      <c r="S144" s="50"/>
      <c r="T144" s="32" t="n">
        <v>0.05</v>
      </c>
      <c r="U144" s="33" t="n">
        <f aca="false">P144*T144</f>
        <v>225</v>
      </c>
      <c r="V144" s="33" t="n">
        <f aca="false">SUM(U144,(U144*0.05))</f>
        <v>236.25</v>
      </c>
      <c r="W144" s="34" t="n">
        <f aca="false">P144+Q144+R144+S144</f>
        <v>4500</v>
      </c>
      <c r="X144" s="34" t="n">
        <f aca="false">SUM(P144:S144)-V144</f>
        <v>4263.75</v>
      </c>
      <c r="Y144" s="28"/>
    </row>
    <row r="145" customFormat="false" ht="22.5" hidden="false" customHeight="true" outlineLevel="0" collapsed="false">
      <c r="A145" s="52" t="s">
        <v>331</v>
      </c>
      <c r="B145" s="36" t="s">
        <v>103</v>
      </c>
      <c r="C145" s="96" t="s">
        <v>544</v>
      </c>
      <c r="D145" s="37" t="s">
        <v>549</v>
      </c>
      <c r="E145" s="39" t="s">
        <v>320</v>
      </c>
      <c r="F145" s="92" t="s">
        <v>26</v>
      </c>
      <c r="G145" s="52"/>
      <c r="H145" s="40" t="s">
        <v>114</v>
      </c>
      <c r="I145" s="36" t="s">
        <v>108</v>
      </c>
      <c r="J145" s="60" t="s">
        <v>550</v>
      </c>
      <c r="K145" s="60" t="s">
        <v>551</v>
      </c>
      <c r="L145" s="60" t="s">
        <v>552</v>
      </c>
      <c r="M145" s="59" t="n">
        <v>45992</v>
      </c>
      <c r="N145" s="59" t="n">
        <v>46356</v>
      </c>
      <c r="O145" s="55" t="n">
        <v>799</v>
      </c>
      <c r="P145" s="55" t="n">
        <v>2800</v>
      </c>
      <c r="Q145" s="55" t="n">
        <v>75</v>
      </c>
      <c r="R145" s="56"/>
      <c r="S145" s="56"/>
      <c r="T145" s="57" t="n">
        <v>0.07</v>
      </c>
      <c r="U145" s="45" t="n">
        <f aca="false">P145*T145</f>
        <v>196</v>
      </c>
      <c r="V145" s="33" t="n">
        <f aca="false">SUM(U145,(U145*0.05))</f>
        <v>205.8</v>
      </c>
      <c r="W145" s="46" t="n">
        <f aca="false">P145+Q145+R145+S145</f>
        <v>2875</v>
      </c>
      <c r="X145" s="34" t="n">
        <f aca="false">SUM(P145:S145)-V145</f>
        <v>2669.2</v>
      </c>
      <c r="Y145" s="42"/>
    </row>
    <row r="146" customFormat="false" ht="22.5" hidden="false" customHeight="true" outlineLevel="0" collapsed="false">
      <c r="A146" s="113" t="n">
        <v>45992</v>
      </c>
      <c r="B146" s="22" t="s">
        <v>103</v>
      </c>
      <c r="C146" s="94" t="s">
        <v>553</v>
      </c>
      <c r="D146" s="23" t="s">
        <v>554</v>
      </c>
      <c r="E146" s="25" t="n">
        <v>232</v>
      </c>
      <c r="F146" s="58" t="s">
        <v>28</v>
      </c>
      <c r="G146" s="47"/>
      <c r="H146" s="26" t="s">
        <v>114</v>
      </c>
      <c r="I146" s="22" t="s">
        <v>108</v>
      </c>
      <c r="J146" s="48" t="s">
        <v>555</v>
      </c>
      <c r="K146" s="28" t="s">
        <v>556</v>
      </c>
      <c r="L146" s="28" t="s">
        <v>557</v>
      </c>
      <c r="M146" s="54" t="n">
        <v>45976</v>
      </c>
      <c r="N146" s="54" t="n">
        <v>46340</v>
      </c>
      <c r="O146" s="30" t="n">
        <v>399</v>
      </c>
      <c r="P146" s="30" t="n">
        <v>2450</v>
      </c>
      <c r="Q146" s="50"/>
      <c r="R146" s="50"/>
      <c r="S146" s="50"/>
      <c r="T146" s="32" t="n">
        <v>0.05</v>
      </c>
      <c r="U146" s="33" t="n">
        <f aca="false">P146*T146</f>
        <v>122.5</v>
      </c>
      <c r="V146" s="33" t="n">
        <f aca="false">SUM(U146,(U146*0.05))</f>
        <v>128.625</v>
      </c>
      <c r="W146" s="34" t="n">
        <f aca="false">P146+Q146+R146+S146</f>
        <v>2450</v>
      </c>
      <c r="X146" s="34" t="n">
        <f aca="false">SUM(P146:S146)-V146</f>
        <v>2321.375</v>
      </c>
      <c r="Y146" s="28"/>
    </row>
    <row r="147" customFormat="false" ht="22.5" hidden="false" customHeight="true" outlineLevel="0" collapsed="false">
      <c r="A147" s="113" t="n">
        <v>45992</v>
      </c>
      <c r="B147" s="36" t="s">
        <v>103</v>
      </c>
      <c r="C147" s="96" t="s">
        <v>553</v>
      </c>
      <c r="D147" s="37" t="s">
        <v>554</v>
      </c>
      <c r="E147" s="39" t="s">
        <v>558</v>
      </c>
      <c r="F147" s="51" t="s">
        <v>28</v>
      </c>
      <c r="G147" s="52"/>
      <c r="H147" s="40" t="s">
        <v>114</v>
      </c>
      <c r="I147" s="36" t="s">
        <v>108</v>
      </c>
      <c r="J147" s="42" t="s">
        <v>559</v>
      </c>
      <c r="K147" s="42" t="s">
        <v>560</v>
      </c>
      <c r="L147" s="42" t="s">
        <v>561</v>
      </c>
      <c r="M147" s="54" t="n">
        <v>46174</v>
      </c>
      <c r="N147" s="61" t="n">
        <v>46538</v>
      </c>
      <c r="O147" s="55" t="n">
        <v>399</v>
      </c>
      <c r="P147" s="55" t="n">
        <v>1450</v>
      </c>
      <c r="Q147" s="56"/>
      <c r="R147" s="56"/>
      <c r="S147" s="56"/>
      <c r="T147" s="57" t="n">
        <v>0.05</v>
      </c>
      <c r="U147" s="45" t="n">
        <f aca="false">P147*T147</f>
        <v>72.5</v>
      </c>
      <c r="V147" s="33" t="n">
        <f aca="false">SUM(U147,(U147*0.05))</f>
        <v>76.125</v>
      </c>
      <c r="W147" s="46" t="n">
        <f aca="false">P147+Q147+R147+S147</f>
        <v>1450</v>
      </c>
      <c r="X147" s="34" t="n">
        <f aca="false">SUM(P147:S147)-V147</f>
        <v>1373.875</v>
      </c>
      <c r="Y147" s="42"/>
    </row>
    <row r="148" customFormat="false" ht="22.5" hidden="false" customHeight="true" outlineLevel="0" collapsed="false">
      <c r="A148" s="113" t="n">
        <v>45992</v>
      </c>
      <c r="B148" s="22" t="s">
        <v>103</v>
      </c>
      <c r="C148" s="94" t="s">
        <v>553</v>
      </c>
      <c r="D148" s="23" t="s">
        <v>562</v>
      </c>
      <c r="E148" s="25" t="n">
        <v>236</v>
      </c>
      <c r="F148" s="58" t="s">
        <v>28</v>
      </c>
      <c r="G148" s="47"/>
      <c r="H148" s="26" t="s">
        <v>114</v>
      </c>
      <c r="I148" s="22" t="s">
        <v>108</v>
      </c>
      <c r="J148" s="48" t="s">
        <v>563</v>
      </c>
      <c r="K148" s="48" t="s">
        <v>564</v>
      </c>
      <c r="L148" s="48" t="s">
        <v>565</v>
      </c>
      <c r="M148" s="59" t="n">
        <v>46174</v>
      </c>
      <c r="N148" s="62" t="n">
        <v>46538</v>
      </c>
      <c r="O148" s="30" t="n">
        <v>399</v>
      </c>
      <c r="P148" s="30" t="n">
        <v>2500</v>
      </c>
      <c r="Q148" s="30" t="n">
        <v>50</v>
      </c>
      <c r="R148" s="50"/>
      <c r="S148" s="50"/>
      <c r="T148" s="32" t="n">
        <v>0.05</v>
      </c>
      <c r="U148" s="33" t="n">
        <f aca="false">P148*T148</f>
        <v>125</v>
      </c>
      <c r="V148" s="33" t="n">
        <f aca="false">SUM(U148,(U148*0.05))</f>
        <v>131.25</v>
      </c>
      <c r="W148" s="34" t="n">
        <f aca="false">P148+Q148+R148+S148</f>
        <v>2550</v>
      </c>
      <c r="X148" s="34" t="n">
        <f aca="false">SUM(P148:S148)-V148</f>
        <v>2418.75</v>
      </c>
      <c r="Y148" s="28"/>
    </row>
    <row r="149" customFormat="false" ht="22.5" hidden="false" customHeight="true" outlineLevel="0" collapsed="false">
      <c r="A149" s="113" t="n">
        <v>45992</v>
      </c>
      <c r="B149" s="36" t="s">
        <v>103</v>
      </c>
      <c r="C149" s="96" t="s">
        <v>553</v>
      </c>
      <c r="D149" s="37" t="s">
        <v>562</v>
      </c>
      <c r="E149" s="39" t="s">
        <v>566</v>
      </c>
      <c r="F149" s="51" t="s">
        <v>28</v>
      </c>
      <c r="G149" s="52"/>
      <c r="H149" s="40" t="s">
        <v>114</v>
      </c>
      <c r="I149" s="36" t="s">
        <v>108</v>
      </c>
      <c r="J149" s="60" t="s">
        <v>567</v>
      </c>
      <c r="K149" s="42" t="s">
        <v>568</v>
      </c>
      <c r="L149" s="42"/>
      <c r="M149" s="54" t="n">
        <v>46082</v>
      </c>
      <c r="N149" s="54" t="n">
        <v>46265</v>
      </c>
      <c r="O149" s="55" t="n">
        <v>399</v>
      </c>
      <c r="P149" s="55" t="n">
        <v>1300</v>
      </c>
      <c r="Q149" s="55" t="n">
        <v>75</v>
      </c>
      <c r="R149" s="56"/>
      <c r="S149" s="56"/>
      <c r="T149" s="57" t="n">
        <v>0.05</v>
      </c>
      <c r="U149" s="45" t="n">
        <f aca="false">P149*T149</f>
        <v>65</v>
      </c>
      <c r="V149" s="33" t="n">
        <f aca="false">SUM(U149,(U149*0.05))</f>
        <v>68.25</v>
      </c>
      <c r="W149" s="46" t="n">
        <f aca="false">P149+Q149+R149+S149</f>
        <v>1375</v>
      </c>
      <c r="X149" s="34" t="n">
        <f aca="false">SUM(P149:S149)-V149</f>
        <v>1306.75</v>
      </c>
      <c r="Y149" s="42"/>
    </row>
    <row r="150" customFormat="false" ht="22.5" hidden="false" customHeight="true" outlineLevel="0" collapsed="false">
      <c r="A150" s="113" t="n">
        <v>45992</v>
      </c>
      <c r="B150" s="22" t="s">
        <v>103</v>
      </c>
      <c r="C150" s="94" t="s">
        <v>553</v>
      </c>
      <c r="D150" s="23" t="s">
        <v>569</v>
      </c>
      <c r="E150" s="25" t="n">
        <v>244</v>
      </c>
      <c r="F150" s="58" t="s">
        <v>28</v>
      </c>
      <c r="G150" s="47"/>
      <c r="H150" s="26" t="s">
        <v>114</v>
      </c>
      <c r="I150" s="22" t="s">
        <v>108</v>
      </c>
      <c r="J150" s="28" t="s">
        <v>570</v>
      </c>
      <c r="K150" s="28" t="s">
        <v>571</v>
      </c>
      <c r="L150" s="28" t="s">
        <v>572</v>
      </c>
      <c r="M150" s="59" t="n">
        <v>46113</v>
      </c>
      <c r="N150" s="59" t="n">
        <v>46477</v>
      </c>
      <c r="O150" s="30" t="n">
        <v>399</v>
      </c>
      <c r="P150" s="30" t="n">
        <v>2250</v>
      </c>
      <c r="Q150" s="50"/>
      <c r="R150" s="50"/>
      <c r="S150" s="50"/>
      <c r="T150" s="32" t="n">
        <v>0.05</v>
      </c>
      <c r="U150" s="33" t="n">
        <f aca="false">P150*T150</f>
        <v>112.5</v>
      </c>
      <c r="V150" s="33" t="n">
        <f aca="false">SUM(U150,(U150*0.05))</f>
        <v>118.125</v>
      </c>
      <c r="W150" s="34" t="n">
        <f aca="false">P150+Q150+R150+S150</f>
        <v>2250</v>
      </c>
      <c r="X150" s="34" t="n">
        <f aca="false">SUM(P150:S150)-V150</f>
        <v>2131.875</v>
      </c>
      <c r="Y150" s="28"/>
    </row>
    <row r="151" customFormat="false" ht="22.5" hidden="false" customHeight="true" outlineLevel="0" collapsed="false">
      <c r="A151" s="113" t="n">
        <v>45992</v>
      </c>
      <c r="B151" s="36" t="s">
        <v>103</v>
      </c>
      <c r="C151" s="96" t="s">
        <v>553</v>
      </c>
      <c r="D151" s="37" t="s">
        <v>569</v>
      </c>
      <c r="E151" s="39" t="s">
        <v>573</v>
      </c>
      <c r="F151" s="51" t="s">
        <v>28</v>
      </c>
      <c r="G151" s="52"/>
      <c r="H151" s="40" t="s">
        <v>114</v>
      </c>
      <c r="I151" s="36" t="s">
        <v>108</v>
      </c>
      <c r="J151" s="60" t="s">
        <v>574</v>
      </c>
      <c r="K151" s="60" t="s">
        <v>575</v>
      </c>
      <c r="L151" s="60" t="s">
        <v>576</v>
      </c>
      <c r="M151" s="54" t="n">
        <v>46082</v>
      </c>
      <c r="N151" s="54" t="n">
        <v>46446</v>
      </c>
      <c r="O151" s="55" t="n">
        <v>399</v>
      </c>
      <c r="P151" s="55" t="n">
        <v>1300</v>
      </c>
      <c r="Q151" s="55" t="n">
        <v>50</v>
      </c>
      <c r="R151" s="56"/>
      <c r="S151" s="56"/>
      <c r="T151" s="57" t="n">
        <v>0.05</v>
      </c>
      <c r="U151" s="45" t="n">
        <f aca="false">P151*T151</f>
        <v>65</v>
      </c>
      <c r="V151" s="33" t="n">
        <f aca="false">SUM(U151,(U151*0.05))</f>
        <v>68.25</v>
      </c>
      <c r="W151" s="46" t="n">
        <f aca="false">P151+Q151+R151+S151</f>
        <v>1350</v>
      </c>
      <c r="X151" s="34" t="n">
        <f aca="false">SUM(P151:S151)-V151</f>
        <v>1281.75</v>
      </c>
      <c r="Y151" s="42"/>
    </row>
    <row r="152" customFormat="false" ht="22.5" hidden="false" customHeight="true" outlineLevel="0" collapsed="false">
      <c r="A152" s="113" t="n">
        <v>45992</v>
      </c>
      <c r="B152" s="22" t="s">
        <v>103</v>
      </c>
      <c r="C152" s="94" t="s">
        <v>553</v>
      </c>
      <c r="D152" s="23" t="s">
        <v>577</v>
      </c>
      <c r="E152" s="25" t="n">
        <v>248</v>
      </c>
      <c r="F152" s="58" t="s">
        <v>28</v>
      </c>
      <c r="G152" s="47"/>
      <c r="H152" s="26" t="s">
        <v>114</v>
      </c>
      <c r="I152" s="22" t="s">
        <v>108</v>
      </c>
      <c r="J152" s="48" t="s">
        <v>578</v>
      </c>
      <c r="K152" s="48" t="s">
        <v>579</v>
      </c>
      <c r="L152" s="48" t="s">
        <v>580</v>
      </c>
      <c r="M152" s="54" t="n">
        <v>46113</v>
      </c>
      <c r="N152" s="54" t="n">
        <v>46477</v>
      </c>
      <c r="O152" s="30" t="n">
        <v>399</v>
      </c>
      <c r="P152" s="30" t="n">
        <v>2200</v>
      </c>
      <c r="Q152" s="30" t="n">
        <v>50</v>
      </c>
      <c r="R152" s="50"/>
      <c r="S152" s="50"/>
      <c r="T152" s="32" t="n">
        <v>0.05</v>
      </c>
      <c r="U152" s="33" t="n">
        <f aca="false">P152*T152</f>
        <v>110</v>
      </c>
      <c r="V152" s="33" t="n">
        <f aca="false">SUM(U152,(U152*0.05))</f>
        <v>115.5</v>
      </c>
      <c r="W152" s="34" t="n">
        <f aca="false">P152+Q152+R152+S152</f>
        <v>2250</v>
      </c>
      <c r="X152" s="34" t="n">
        <f aca="false">SUM(P152:S152)-V152</f>
        <v>2134.5</v>
      </c>
      <c r="Y152" s="28"/>
    </row>
    <row r="153" customFormat="false" ht="22.5" hidden="false" customHeight="true" outlineLevel="0" collapsed="false">
      <c r="A153" s="113" t="n">
        <v>45992</v>
      </c>
      <c r="B153" s="36" t="s">
        <v>103</v>
      </c>
      <c r="C153" s="96" t="s">
        <v>553</v>
      </c>
      <c r="D153" s="37" t="s">
        <v>577</v>
      </c>
      <c r="E153" s="39" t="s">
        <v>581</v>
      </c>
      <c r="F153" s="51" t="s">
        <v>28</v>
      </c>
      <c r="G153" s="52"/>
      <c r="H153" s="40" t="s">
        <v>114</v>
      </c>
      <c r="I153" s="36" t="s">
        <v>108</v>
      </c>
      <c r="J153" s="60" t="s">
        <v>582</v>
      </c>
      <c r="K153" s="60" t="s">
        <v>583</v>
      </c>
      <c r="L153" s="60" t="s">
        <v>584</v>
      </c>
      <c r="M153" s="54" t="n">
        <v>46082</v>
      </c>
      <c r="N153" s="54" t="n">
        <v>46446</v>
      </c>
      <c r="O153" s="55" t="n">
        <v>399</v>
      </c>
      <c r="P153" s="55" t="n">
        <v>1200</v>
      </c>
      <c r="Q153" s="55" t="n">
        <v>75</v>
      </c>
      <c r="R153" s="56"/>
      <c r="S153" s="56"/>
      <c r="T153" s="57" t="n">
        <v>0.05</v>
      </c>
      <c r="U153" s="45" t="n">
        <f aca="false">P153*T153</f>
        <v>60</v>
      </c>
      <c r="V153" s="33" t="n">
        <f aca="false">SUM(U153,(U153*0.05))</f>
        <v>63</v>
      </c>
      <c r="W153" s="46" t="n">
        <f aca="false">P153+Q153+R153+S153</f>
        <v>1275</v>
      </c>
      <c r="X153" s="34" t="n">
        <f aca="false">SUM(P153:S153)-V153</f>
        <v>1212</v>
      </c>
      <c r="Y153" s="42"/>
    </row>
    <row r="154" customFormat="false" ht="22.5" hidden="false" customHeight="true" outlineLevel="0" collapsed="false">
      <c r="A154" s="21" t="n">
        <v>46020</v>
      </c>
      <c r="B154" s="22" t="s">
        <v>103</v>
      </c>
      <c r="C154" s="94" t="s">
        <v>585</v>
      </c>
      <c r="D154" s="23" t="s">
        <v>586</v>
      </c>
      <c r="E154" s="25" t="s">
        <v>320</v>
      </c>
      <c r="F154" s="58" t="s">
        <v>28</v>
      </c>
      <c r="G154" s="47"/>
      <c r="H154" s="26" t="s">
        <v>114</v>
      </c>
      <c r="I154" s="22" t="s">
        <v>108</v>
      </c>
      <c r="J154" s="48" t="s">
        <v>587</v>
      </c>
      <c r="K154" s="48" t="s">
        <v>588</v>
      </c>
      <c r="L154" s="48" t="s">
        <v>589</v>
      </c>
      <c r="M154" s="54" t="n">
        <v>46082</v>
      </c>
      <c r="N154" s="54" t="n">
        <v>46446</v>
      </c>
      <c r="O154" s="30" t="n">
        <v>599</v>
      </c>
      <c r="P154" s="30" t="n">
        <v>2700</v>
      </c>
      <c r="Q154" s="30" t="n">
        <v>60</v>
      </c>
      <c r="R154" s="50"/>
      <c r="S154" s="50"/>
      <c r="T154" s="32" t="n">
        <v>0.07</v>
      </c>
      <c r="U154" s="33" t="n">
        <f aca="false">P154*T154</f>
        <v>189</v>
      </c>
      <c r="V154" s="33" t="n">
        <f aca="false">SUM(U154,(U154*0.05))</f>
        <v>198.45</v>
      </c>
      <c r="W154" s="34" t="n">
        <f aca="false">P154+Q154+R154+S154</f>
        <v>2760</v>
      </c>
      <c r="X154" s="34" t="n">
        <f aca="false">SUM(P154:S154)-V154</f>
        <v>2561.55</v>
      </c>
      <c r="Y154" s="28"/>
    </row>
    <row r="155" customFormat="false" ht="22.5" hidden="false" customHeight="true" outlineLevel="0" collapsed="false">
      <c r="A155" s="105" t="n">
        <v>46101</v>
      </c>
      <c r="B155" s="36" t="s">
        <v>103</v>
      </c>
      <c r="C155" s="96" t="s">
        <v>590</v>
      </c>
      <c r="D155" s="37" t="s">
        <v>591</v>
      </c>
      <c r="E155" s="39" t="s">
        <v>106</v>
      </c>
      <c r="F155" s="40" t="s">
        <v>25</v>
      </c>
      <c r="G155" s="52"/>
      <c r="H155" s="40" t="s">
        <v>114</v>
      </c>
      <c r="I155" s="36" t="s">
        <v>108</v>
      </c>
      <c r="J155" s="60" t="s">
        <v>592</v>
      </c>
      <c r="K155" s="60" t="s">
        <v>593</v>
      </c>
      <c r="L155" s="42" t="s">
        <v>594</v>
      </c>
      <c r="M155" s="49" t="n">
        <v>46113</v>
      </c>
      <c r="N155" s="114" t="n">
        <v>46387</v>
      </c>
      <c r="O155" s="55" t="n">
        <v>599</v>
      </c>
      <c r="P155" s="55" t="n">
        <v>1725</v>
      </c>
      <c r="Q155" s="56"/>
      <c r="R155" s="56"/>
      <c r="S155" s="56"/>
      <c r="T155" s="57" t="n">
        <v>0.05</v>
      </c>
      <c r="U155" s="45" t="n">
        <f aca="false">P155*T155</f>
        <v>86.25</v>
      </c>
      <c r="V155" s="33" t="n">
        <f aca="false">SUM(U155,(U155*0.05))</f>
        <v>90.5625</v>
      </c>
      <c r="W155" s="46" t="n">
        <f aca="false">P155+Q155+R155+S155</f>
        <v>1725</v>
      </c>
      <c r="X155" s="34" t="n">
        <f aca="false">SUM(P155:S155)-V155</f>
        <v>1634.4375</v>
      </c>
      <c r="Y155" s="42"/>
    </row>
    <row r="156" customFormat="false" ht="22.5" hidden="false" customHeight="true" outlineLevel="0" collapsed="false">
      <c r="A156" s="101" t="n">
        <v>46101</v>
      </c>
      <c r="B156" s="22" t="s">
        <v>103</v>
      </c>
      <c r="C156" s="110" t="s">
        <v>590</v>
      </c>
      <c r="D156" s="24" t="s">
        <v>591</v>
      </c>
      <c r="E156" s="25" t="s">
        <v>109</v>
      </c>
      <c r="F156" s="26" t="s">
        <v>25</v>
      </c>
      <c r="G156" s="27"/>
      <c r="H156" s="22" t="s">
        <v>107</v>
      </c>
      <c r="I156" s="22" t="s">
        <v>108</v>
      </c>
      <c r="J156" s="28"/>
      <c r="K156" s="28"/>
      <c r="L156" s="28"/>
      <c r="M156" s="29"/>
      <c r="N156" s="27"/>
      <c r="O156" s="55" t="n">
        <v>599</v>
      </c>
      <c r="P156" s="31"/>
      <c r="Q156" s="31"/>
      <c r="R156" s="31"/>
      <c r="S156" s="31"/>
      <c r="T156" s="57" t="n">
        <v>0.05</v>
      </c>
      <c r="U156" s="33" t="n">
        <f aca="false">P156*T156</f>
        <v>0</v>
      </c>
      <c r="V156" s="33"/>
      <c r="W156" s="34" t="n">
        <f aca="false">P156+Q156+R156+S156</f>
        <v>0</v>
      </c>
      <c r="X156" s="34" t="n">
        <f aca="false">SUM(P156:S156)-U156</f>
        <v>0</v>
      </c>
      <c r="Y156" s="28"/>
    </row>
    <row r="157" customFormat="false" ht="22.5" hidden="false" customHeight="true" outlineLevel="0" collapsed="false">
      <c r="A157" s="105" t="n">
        <v>46101</v>
      </c>
      <c r="B157" s="36" t="s">
        <v>103</v>
      </c>
      <c r="C157" s="96" t="s">
        <v>590</v>
      </c>
      <c r="D157" s="37" t="s">
        <v>595</v>
      </c>
      <c r="E157" s="39" t="s">
        <v>155</v>
      </c>
      <c r="F157" s="40" t="s">
        <v>25</v>
      </c>
      <c r="G157" s="52"/>
      <c r="H157" s="40" t="s">
        <v>114</v>
      </c>
      <c r="I157" s="36" t="s">
        <v>108</v>
      </c>
      <c r="J157" s="60" t="s">
        <v>596</v>
      </c>
      <c r="K157" s="42" t="s">
        <v>597</v>
      </c>
      <c r="L157" s="42" t="s">
        <v>598</v>
      </c>
      <c r="M157" s="67" t="n">
        <v>46174</v>
      </c>
      <c r="N157" s="67" t="n">
        <v>46538</v>
      </c>
      <c r="O157" s="55" t="n">
        <v>599</v>
      </c>
      <c r="P157" s="55" t="n">
        <v>1550</v>
      </c>
      <c r="Q157" s="56"/>
      <c r="R157" s="56"/>
      <c r="S157" s="56"/>
      <c r="T157" s="57" t="n">
        <v>0.05</v>
      </c>
      <c r="U157" s="45" t="n">
        <f aca="false">P157*T157</f>
        <v>77.5</v>
      </c>
      <c r="V157" s="33" t="n">
        <f aca="false">SUM(U157,(U157*0.05))</f>
        <v>81.375</v>
      </c>
      <c r="W157" s="46" t="n">
        <f aca="false">P157+Q157+R157+S157</f>
        <v>1550</v>
      </c>
      <c r="X157" s="34" t="n">
        <f aca="false">SUM(P157:S157)-V157</f>
        <v>1468.625</v>
      </c>
      <c r="Y157" s="42"/>
    </row>
    <row r="158" customFormat="false" ht="22.5" hidden="false" customHeight="true" outlineLevel="0" collapsed="false">
      <c r="A158" s="105" t="n">
        <v>46101</v>
      </c>
      <c r="B158" s="22" t="s">
        <v>103</v>
      </c>
      <c r="C158" s="94" t="s">
        <v>590</v>
      </c>
      <c r="D158" s="23" t="s">
        <v>595</v>
      </c>
      <c r="E158" s="25" t="s">
        <v>109</v>
      </c>
      <c r="F158" s="26" t="s">
        <v>25</v>
      </c>
      <c r="G158" s="47"/>
      <c r="H158" s="26" t="s">
        <v>114</v>
      </c>
      <c r="I158" s="22" t="s">
        <v>108</v>
      </c>
      <c r="J158" s="28" t="s">
        <v>599</v>
      </c>
      <c r="K158" s="28" t="s">
        <v>600</v>
      </c>
      <c r="L158" s="28" t="s">
        <v>601</v>
      </c>
      <c r="M158" s="49" t="n">
        <v>46113</v>
      </c>
      <c r="N158" s="49" t="n">
        <v>46173</v>
      </c>
      <c r="O158" s="30" t="n">
        <v>599</v>
      </c>
      <c r="P158" s="30" t="n">
        <v>1050</v>
      </c>
      <c r="Q158" s="50"/>
      <c r="R158" s="50"/>
      <c r="S158" s="50"/>
      <c r="T158" s="32" t="n">
        <v>0.05</v>
      </c>
      <c r="U158" s="33" t="n">
        <f aca="false">P158*T158</f>
        <v>52.5</v>
      </c>
      <c r="V158" s="33" t="n">
        <f aca="false">SUM(U158,(U158*0.05))</f>
        <v>55.125</v>
      </c>
      <c r="W158" s="34" t="n">
        <f aca="false">P158+Q158+R158+S158</f>
        <v>1050</v>
      </c>
      <c r="X158" s="34" t="n">
        <f aca="false">SUM(P158:S158)-V158</f>
        <v>994.875</v>
      </c>
      <c r="Y158" s="28"/>
    </row>
    <row r="159" customFormat="false" ht="22.5" hidden="false" customHeight="true" outlineLevel="0" collapsed="false">
      <c r="A159" s="116" t="n">
        <v>46001</v>
      </c>
      <c r="B159" s="36" t="s">
        <v>103</v>
      </c>
      <c r="C159" s="90" t="s">
        <v>602</v>
      </c>
      <c r="D159" s="80" t="s">
        <v>603</v>
      </c>
      <c r="E159" s="81"/>
      <c r="F159" s="77" t="s">
        <v>31</v>
      </c>
      <c r="G159" s="83"/>
      <c r="H159" s="36" t="s">
        <v>107</v>
      </c>
      <c r="I159" s="92" t="s">
        <v>341</v>
      </c>
      <c r="J159" s="84"/>
      <c r="K159" s="84"/>
      <c r="L159" s="84"/>
      <c r="M159" s="85"/>
      <c r="N159" s="83"/>
      <c r="O159" s="86"/>
      <c r="P159" s="86"/>
      <c r="Q159" s="86"/>
      <c r="R159" s="86"/>
      <c r="S159" s="86"/>
      <c r="T159" s="100"/>
      <c r="U159" s="88" t="n">
        <f aca="false">P159*T159</f>
        <v>0</v>
      </c>
      <c r="V159" s="88"/>
      <c r="W159" s="89" t="n">
        <f aca="false">P159+Q159+R159+S159</f>
        <v>0</v>
      </c>
      <c r="X159" s="89" t="n">
        <f aca="false">SUM(P159:S159)-U159</f>
        <v>0</v>
      </c>
      <c r="Y159" s="84"/>
    </row>
    <row r="160" customFormat="false" ht="22.5" hidden="false" customHeight="true" outlineLevel="0" collapsed="false">
      <c r="A160" s="113" t="n">
        <v>46125</v>
      </c>
      <c r="B160" s="22" t="s">
        <v>103</v>
      </c>
      <c r="C160" s="94" t="s">
        <v>604</v>
      </c>
      <c r="D160" s="23" t="s">
        <v>605</v>
      </c>
      <c r="E160" s="25" t="s">
        <v>155</v>
      </c>
      <c r="F160" s="26" t="s">
        <v>25</v>
      </c>
      <c r="G160" s="47"/>
      <c r="H160" s="26" t="s">
        <v>114</v>
      </c>
      <c r="I160" s="22" t="s">
        <v>108</v>
      </c>
      <c r="J160" s="48" t="s">
        <v>606</v>
      </c>
      <c r="K160" s="48" t="s">
        <v>607</v>
      </c>
      <c r="L160" s="48" t="s">
        <v>608</v>
      </c>
      <c r="M160" s="49" t="n">
        <v>46204</v>
      </c>
      <c r="N160" s="49" t="n">
        <v>46568</v>
      </c>
      <c r="O160" s="30" t="n">
        <v>599</v>
      </c>
      <c r="P160" s="30" t="n">
        <v>2350</v>
      </c>
      <c r="Q160" s="50"/>
      <c r="R160" s="50"/>
      <c r="S160" s="50"/>
      <c r="T160" s="32" t="n">
        <v>0.05</v>
      </c>
      <c r="U160" s="33" t="n">
        <f aca="false">P160*T160</f>
        <v>117.5</v>
      </c>
      <c r="V160" s="33" t="n">
        <f aca="false">SUM(U160,(U160*0.05))</f>
        <v>123.375</v>
      </c>
      <c r="W160" s="34" t="n">
        <f aca="false">P160+Q160+R160+S160</f>
        <v>2350</v>
      </c>
      <c r="X160" s="34" t="n">
        <f aca="false">SUM(P160:S160)-V160</f>
        <v>2226.625</v>
      </c>
      <c r="Y160" s="28"/>
    </row>
    <row r="161" customFormat="false" ht="22.5" hidden="false" customHeight="true" outlineLevel="0" collapsed="false">
      <c r="A161" s="120" t="n">
        <v>46125</v>
      </c>
      <c r="B161" s="36" t="s">
        <v>103</v>
      </c>
      <c r="C161" s="102" t="s">
        <v>604</v>
      </c>
      <c r="D161" s="38" t="s">
        <v>605</v>
      </c>
      <c r="E161" s="39" t="s">
        <v>109</v>
      </c>
      <c r="F161" s="40" t="s">
        <v>25</v>
      </c>
      <c r="G161" s="41"/>
      <c r="H161" s="36" t="s">
        <v>107</v>
      </c>
      <c r="I161" s="36" t="s">
        <v>108</v>
      </c>
      <c r="J161" s="42"/>
      <c r="K161" s="42"/>
      <c r="L161" s="42"/>
      <c r="M161" s="43"/>
      <c r="N161" s="41"/>
      <c r="O161" s="30" t="n">
        <v>599</v>
      </c>
      <c r="P161" s="44"/>
      <c r="Q161" s="44"/>
      <c r="R161" s="44"/>
      <c r="S161" s="44"/>
      <c r="T161" s="32" t="n">
        <v>0.05</v>
      </c>
      <c r="U161" s="45" t="n">
        <f aca="false">P161*T161</f>
        <v>0</v>
      </c>
      <c r="V161" s="45"/>
      <c r="W161" s="46" t="n">
        <f aca="false">P161+Q161+R161+S161</f>
        <v>0</v>
      </c>
      <c r="X161" s="46" t="n">
        <f aca="false">SUM(P161:S161)-U161</f>
        <v>0</v>
      </c>
      <c r="Y161" s="42"/>
    </row>
    <row r="162" customFormat="false" ht="22.5" hidden="false" customHeight="true" outlineLevel="0" collapsed="false">
      <c r="A162" s="113" t="n">
        <v>46125</v>
      </c>
      <c r="B162" s="22" t="s">
        <v>103</v>
      </c>
      <c r="C162" s="94" t="s">
        <v>604</v>
      </c>
      <c r="D162" s="23" t="s">
        <v>609</v>
      </c>
      <c r="E162" s="25" t="s">
        <v>106</v>
      </c>
      <c r="F162" s="26" t="s">
        <v>25</v>
      </c>
      <c r="G162" s="47"/>
      <c r="H162" s="26" t="s">
        <v>114</v>
      </c>
      <c r="I162" s="22" t="s">
        <v>108</v>
      </c>
      <c r="J162" s="48" t="s">
        <v>610</v>
      </c>
      <c r="K162" s="48" t="s">
        <v>611</v>
      </c>
      <c r="L162" s="48" t="s">
        <v>612</v>
      </c>
      <c r="M162" s="67" t="n">
        <v>46204</v>
      </c>
      <c r="N162" s="67" t="n">
        <v>46568</v>
      </c>
      <c r="O162" s="30" t="n">
        <v>599</v>
      </c>
      <c r="P162" s="30" t="n">
        <v>2350</v>
      </c>
      <c r="Q162" s="50"/>
      <c r="R162" s="50"/>
      <c r="S162" s="50"/>
      <c r="T162" s="32" t="n">
        <v>0.05</v>
      </c>
      <c r="U162" s="33" t="n">
        <f aca="false">P162*T162</f>
        <v>117.5</v>
      </c>
      <c r="V162" s="33" t="n">
        <f aca="false">SUM(U162,(U162*0.05))</f>
        <v>123.375</v>
      </c>
      <c r="W162" s="34" t="n">
        <f aca="false">P162+Q162+R162+S162</f>
        <v>2350</v>
      </c>
      <c r="X162" s="34" t="n">
        <f aca="false">SUM(P162:S162)-V162</f>
        <v>2226.625</v>
      </c>
      <c r="Y162" s="28"/>
    </row>
    <row r="163" customFormat="false" ht="22.5" hidden="false" customHeight="true" outlineLevel="0" collapsed="false">
      <c r="A163" s="113" t="n">
        <v>46125</v>
      </c>
      <c r="B163" s="36" t="s">
        <v>103</v>
      </c>
      <c r="C163" s="96" t="s">
        <v>604</v>
      </c>
      <c r="D163" s="37" t="s">
        <v>609</v>
      </c>
      <c r="E163" s="39" t="s">
        <v>109</v>
      </c>
      <c r="F163" s="40" t="s">
        <v>25</v>
      </c>
      <c r="G163" s="52"/>
      <c r="H163" s="40" t="s">
        <v>114</v>
      </c>
      <c r="I163" s="36" t="s">
        <v>108</v>
      </c>
      <c r="J163" s="42" t="s">
        <v>613</v>
      </c>
      <c r="K163" s="42" t="s">
        <v>614</v>
      </c>
      <c r="L163" s="42" t="s">
        <v>615</v>
      </c>
      <c r="M163" s="49" t="n">
        <v>46174</v>
      </c>
      <c r="N163" s="49" t="n">
        <v>46538</v>
      </c>
      <c r="O163" s="55" t="n">
        <v>599</v>
      </c>
      <c r="P163" s="55" t="n">
        <v>1200</v>
      </c>
      <c r="Q163" s="56"/>
      <c r="R163" s="56"/>
      <c r="S163" s="56"/>
      <c r="T163" s="57" t="n">
        <v>0.05</v>
      </c>
      <c r="U163" s="45" t="n">
        <f aca="false">P163*T163</f>
        <v>60</v>
      </c>
      <c r="V163" s="33" t="n">
        <f aca="false">SUM(U163,(U163*0.05))</f>
        <v>63</v>
      </c>
      <c r="W163" s="46" t="n">
        <f aca="false">P163+Q163+R163+S163</f>
        <v>1200</v>
      </c>
      <c r="X163" s="34" t="n">
        <f aca="false">SUM(P163:S163)-V163</f>
        <v>1137</v>
      </c>
      <c r="Y163" s="42"/>
    </row>
    <row r="164" customFormat="false" ht="22.5" hidden="false" customHeight="true" outlineLevel="0" collapsed="false">
      <c r="A164" s="113" t="n">
        <v>46125</v>
      </c>
      <c r="B164" s="22" t="s">
        <v>103</v>
      </c>
      <c r="C164" s="94" t="s">
        <v>616</v>
      </c>
      <c r="D164" s="23" t="s">
        <v>617</v>
      </c>
      <c r="E164" s="25" t="s">
        <v>320</v>
      </c>
      <c r="F164" s="58" t="s">
        <v>28</v>
      </c>
      <c r="G164" s="47"/>
      <c r="H164" s="26" t="s">
        <v>114</v>
      </c>
      <c r="I164" s="22" t="s">
        <v>108</v>
      </c>
      <c r="J164" s="48" t="s">
        <v>618</v>
      </c>
      <c r="K164" s="48" t="s">
        <v>619</v>
      </c>
      <c r="L164" s="48" t="s">
        <v>620</v>
      </c>
      <c r="M164" s="117" t="n">
        <v>46143</v>
      </c>
      <c r="N164" s="117" t="n">
        <v>46507</v>
      </c>
      <c r="O164" s="30" t="n">
        <v>799</v>
      </c>
      <c r="P164" s="30" t="n">
        <v>2850</v>
      </c>
      <c r="Q164" s="50"/>
      <c r="R164" s="50"/>
      <c r="S164" s="50"/>
      <c r="T164" s="32" t="n">
        <v>0.07</v>
      </c>
      <c r="U164" s="33" t="n">
        <f aca="false">P164*T164</f>
        <v>199.5</v>
      </c>
      <c r="V164" s="33" t="n">
        <f aca="false">SUM(U164,(U164*0.05))</f>
        <v>209.475</v>
      </c>
      <c r="W164" s="34" t="n">
        <f aca="false">P164+Q164+R164+S164</f>
        <v>2850</v>
      </c>
      <c r="X164" s="34" t="n">
        <f aca="false">SUM(P164:S164)-V164</f>
        <v>2640.525</v>
      </c>
      <c r="Y164" s="28"/>
    </row>
    <row r="165" customFormat="false" ht="22.5" hidden="false" customHeight="true" outlineLevel="0" collapsed="false">
      <c r="A165" s="123" t="n">
        <v>46075</v>
      </c>
      <c r="B165" s="97" t="s">
        <v>103</v>
      </c>
      <c r="C165" s="124" t="s">
        <v>621</v>
      </c>
      <c r="D165" s="124" t="s">
        <v>622</v>
      </c>
      <c r="E165" s="125" t="s">
        <v>320</v>
      </c>
      <c r="F165" s="97" t="s">
        <v>25</v>
      </c>
      <c r="G165" s="97"/>
      <c r="H165" s="97" t="s">
        <v>107</v>
      </c>
      <c r="I165" s="97" t="s">
        <v>108</v>
      </c>
      <c r="J165" s="126"/>
      <c r="K165" s="126"/>
      <c r="L165" s="126"/>
      <c r="M165" s="127"/>
      <c r="N165" s="97"/>
      <c r="O165" s="128" t="n">
        <v>500</v>
      </c>
      <c r="P165" s="129"/>
      <c r="Q165" s="129"/>
      <c r="R165" s="129"/>
      <c r="S165" s="129"/>
      <c r="T165" s="130" t="n">
        <v>0.07</v>
      </c>
      <c r="U165" s="131" t="n">
        <f aca="false">P165*T165</f>
        <v>0</v>
      </c>
      <c r="V165" s="131"/>
      <c r="W165" s="132" t="n">
        <f aca="false">P165+Q165+R165+S165</f>
        <v>0</v>
      </c>
      <c r="X165" s="132" t="n">
        <f aca="false">SUM(P165:S165)-U165</f>
        <v>0</v>
      </c>
      <c r="Y165" s="97" t="s">
        <v>623</v>
      </c>
    </row>
    <row r="166" customFormat="false" ht="22.5" hidden="false" customHeight="true" outlineLevel="0" collapsed="false">
      <c r="A166" s="116" t="n">
        <v>46202</v>
      </c>
      <c r="B166" s="97" t="s">
        <v>103</v>
      </c>
      <c r="C166" s="133" t="s">
        <v>624</v>
      </c>
      <c r="D166" s="133" t="s">
        <v>625</v>
      </c>
      <c r="E166" s="25" t="s">
        <v>320</v>
      </c>
      <c r="F166" s="97" t="s">
        <v>26</v>
      </c>
      <c r="G166" s="97"/>
      <c r="H166" s="97" t="s">
        <v>107</v>
      </c>
      <c r="I166" s="97" t="s">
        <v>341</v>
      </c>
      <c r="J166" s="126"/>
      <c r="K166" s="126"/>
      <c r="L166" s="126"/>
      <c r="M166" s="127"/>
      <c r="N166" s="97"/>
      <c r="O166" s="129" t="n">
        <v>799</v>
      </c>
      <c r="P166" s="129"/>
      <c r="Q166" s="129"/>
      <c r="R166" s="129"/>
      <c r="S166" s="129"/>
      <c r="T166" s="134" t="n">
        <v>0.08</v>
      </c>
      <c r="U166" s="131" t="n">
        <f aca="false">P166*T166</f>
        <v>0</v>
      </c>
      <c r="V166" s="131"/>
      <c r="W166" s="132" t="n">
        <f aca="false">P166+Q166+R166+S166</f>
        <v>0</v>
      </c>
      <c r="X166" s="132" t="n">
        <f aca="false">SUM(P166:S166)-U166</f>
        <v>0</v>
      </c>
      <c r="Y166" s="97"/>
    </row>
    <row r="167" customFormat="false" ht="22.5" hidden="false" customHeight="true" outlineLevel="0" collapsed="false">
      <c r="A167" s="123" t="n">
        <v>46203</v>
      </c>
      <c r="B167" s="97" t="s">
        <v>103</v>
      </c>
      <c r="C167" s="124" t="s">
        <v>626</v>
      </c>
      <c r="D167" s="124" t="s">
        <v>627</v>
      </c>
      <c r="E167" s="135" t="n">
        <v>3507</v>
      </c>
      <c r="F167" s="97" t="s">
        <v>28</v>
      </c>
      <c r="G167" s="97"/>
      <c r="H167" s="97" t="s">
        <v>628</v>
      </c>
      <c r="I167" s="97" t="s">
        <v>108</v>
      </c>
      <c r="J167" s="97"/>
      <c r="K167" s="97"/>
      <c r="L167" s="97"/>
      <c r="M167" s="97"/>
      <c r="N167" s="97"/>
      <c r="O167" s="129" t="n">
        <v>599</v>
      </c>
      <c r="P167" s="129" t="n">
        <v>1750</v>
      </c>
      <c r="Q167" s="129"/>
      <c r="R167" s="129"/>
      <c r="S167" s="129"/>
      <c r="T167" s="134" t="n">
        <v>0.07</v>
      </c>
      <c r="U167" s="33" t="n">
        <f aca="false">P167*T167</f>
        <v>122.5</v>
      </c>
      <c r="V167" s="33"/>
      <c r="W167" s="34" t="n">
        <f aca="false">P167+Q167+R167+S167</f>
        <v>1750</v>
      </c>
      <c r="X167" s="34" t="n">
        <f aca="false">SUM(P167:S167)-U167</f>
        <v>1627.5</v>
      </c>
      <c r="Y167" s="97"/>
    </row>
    <row r="168" customFormat="false" ht="22.5" hidden="false" customHeight="true" outlineLevel="0" collapsed="false">
      <c r="A168" s="123" t="n">
        <v>46205</v>
      </c>
      <c r="B168" s="97" t="s">
        <v>103</v>
      </c>
      <c r="C168" s="124" t="s">
        <v>626</v>
      </c>
      <c r="D168" s="124" t="s">
        <v>629</v>
      </c>
      <c r="E168" s="135" t="n">
        <v>914</v>
      </c>
      <c r="F168" s="97" t="s">
        <v>28</v>
      </c>
      <c r="G168" s="97"/>
      <c r="H168" s="97" t="s">
        <v>628</v>
      </c>
      <c r="I168" s="97" t="s">
        <v>108</v>
      </c>
      <c r="J168" s="97"/>
      <c r="K168" s="97"/>
      <c r="L168" s="97"/>
      <c r="M168" s="97"/>
      <c r="N168" s="97"/>
      <c r="O168" s="129"/>
      <c r="P168" s="129"/>
      <c r="Q168" s="129"/>
      <c r="R168" s="129"/>
      <c r="S168" s="129"/>
      <c r="T168" s="134"/>
      <c r="U168" s="136"/>
      <c r="V168" s="136"/>
      <c r="W168" s="136"/>
      <c r="X168" s="136"/>
      <c r="Y168" s="97"/>
    </row>
    <row r="169" customFormat="false" ht="22.5" hidden="false" customHeight="true" outlineLevel="0" collapsed="false">
      <c r="A169" s="137"/>
      <c r="B169" s="138" t="s">
        <v>103</v>
      </c>
      <c r="C169" s="124" t="s">
        <v>626</v>
      </c>
      <c r="D169" s="124" t="s">
        <v>630</v>
      </c>
      <c r="E169" s="139" t="s">
        <v>631</v>
      </c>
      <c r="F169" s="138" t="s">
        <v>28</v>
      </c>
      <c r="G169" s="138"/>
      <c r="H169" s="138" t="s">
        <v>628</v>
      </c>
      <c r="I169" s="138" t="s">
        <v>108</v>
      </c>
      <c r="J169" s="138"/>
      <c r="K169" s="138"/>
      <c r="L169" s="138"/>
      <c r="M169" s="138"/>
      <c r="N169" s="138"/>
      <c r="O169" s="140"/>
      <c r="P169" s="140"/>
      <c r="Q169" s="140"/>
      <c r="R169" s="140"/>
      <c r="S169" s="140"/>
      <c r="T169" s="141"/>
      <c r="U169" s="142"/>
      <c r="V169" s="33" t="n">
        <f aca="false">SUM(U169,(U169*0.05))</f>
        <v>0</v>
      </c>
      <c r="W169" s="142"/>
      <c r="X169" s="34" t="n">
        <f aca="false">SUM(P169:S169)-V169</f>
        <v>0</v>
      </c>
      <c r="Y169" s="138"/>
    </row>
    <row r="170" customFormat="false" ht="22.5" hidden="false" customHeight="true" outlineLevel="0" collapsed="false">
      <c r="A170" s="137"/>
      <c r="B170" s="138" t="s">
        <v>103</v>
      </c>
      <c r="C170" s="143" t="s">
        <v>632</v>
      </c>
      <c r="D170" s="143" t="s">
        <v>633</v>
      </c>
      <c r="E170" s="139" t="n">
        <v>1</v>
      </c>
      <c r="F170" s="138" t="s">
        <v>27</v>
      </c>
      <c r="G170" s="138"/>
      <c r="H170" s="138" t="s">
        <v>114</v>
      </c>
      <c r="I170" s="138" t="s">
        <v>108</v>
      </c>
      <c r="J170" s="144" t="s">
        <v>634</v>
      </c>
      <c r="K170" s="145" t="s">
        <v>635</v>
      </c>
      <c r="L170" s="138"/>
      <c r="M170" s="138"/>
      <c r="N170" s="138"/>
      <c r="O170" s="140"/>
      <c r="P170" s="140" t="n">
        <v>2850</v>
      </c>
      <c r="Q170" s="140"/>
      <c r="R170" s="140"/>
      <c r="S170" s="140"/>
      <c r="T170" s="141" t="n">
        <v>0.05</v>
      </c>
      <c r="U170" s="33" t="n">
        <f aca="false">P170*T170</f>
        <v>142.5</v>
      </c>
      <c r="V170" s="33" t="n">
        <f aca="false">SUM(U170,(U170*0.05))</f>
        <v>149.625</v>
      </c>
      <c r="W170" s="34" t="n">
        <f aca="false">P170+Q170+R170+S170</f>
        <v>2850</v>
      </c>
      <c r="X170" s="34" t="n">
        <f aca="false">SUM(P170:S170)-V170</f>
        <v>2700.375</v>
      </c>
      <c r="Y170" s="138"/>
    </row>
    <row r="171" customFormat="false" ht="22.5" hidden="false" customHeight="true" outlineLevel="0" collapsed="false">
      <c r="A171" s="137"/>
      <c r="B171" s="138" t="s">
        <v>103</v>
      </c>
      <c r="C171" s="143" t="s">
        <v>632</v>
      </c>
      <c r="D171" s="143" t="s">
        <v>633</v>
      </c>
      <c r="E171" s="139" t="s">
        <v>636</v>
      </c>
      <c r="F171" s="138" t="s">
        <v>27</v>
      </c>
      <c r="G171" s="138"/>
      <c r="H171" s="138" t="s">
        <v>114</v>
      </c>
      <c r="I171" s="138" t="s">
        <v>108</v>
      </c>
      <c r="J171" s="144" t="s">
        <v>637</v>
      </c>
      <c r="K171" s="138" t="s">
        <v>638</v>
      </c>
      <c r="L171" s="138"/>
      <c r="M171" s="138"/>
      <c r="N171" s="138"/>
      <c r="O171" s="140"/>
      <c r="P171" s="140" t="n">
        <v>1150</v>
      </c>
      <c r="Q171" s="140"/>
      <c r="R171" s="140"/>
      <c r="S171" s="140"/>
      <c r="T171" s="141" t="n">
        <v>0.05</v>
      </c>
      <c r="U171" s="33" t="n">
        <f aca="false">P171*T171</f>
        <v>57.5</v>
      </c>
      <c r="V171" s="33" t="n">
        <f aca="false">SUM(U171,(U171*0.05))</f>
        <v>60.375</v>
      </c>
      <c r="W171" s="34" t="n">
        <f aca="false">P171+Q171+R171+S171</f>
        <v>1150</v>
      </c>
      <c r="X171" s="34" t="n">
        <f aca="false">SUM(P171:S171)-V171</f>
        <v>1089.625</v>
      </c>
      <c r="Y171" s="138"/>
    </row>
    <row r="172" customFormat="false" ht="22.5" hidden="false" customHeight="true" outlineLevel="0" collapsed="false">
      <c r="A172" s="137"/>
      <c r="B172" s="138" t="s">
        <v>103</v>
      </c>
      <c r="C172" s="146" t="s">
        <v>632</v>
      </c>
      <c r="D172" s="146" t="s">
        <v>633</v>
      </c>
      <c r="E172" s="139" t="n">
        <v>2</v>
      </c>
      <c r="F172" s="138" t="s">
        <v>27</v>
      </c>
      <c r="G172" s="138"/>
      <c r="H172" s="138" t="s">
        <v>114</v>
      </c>
      <c r="I172" s="138" t="s">
        <v>108</v>
      </c>
      <c r="J172" s="147" t="s">
        <v>639</v>
      </c>
      <c r="K172" s="138"/>
      <c r="L172" s="138"/>
      <c r="M172" s="138"/>
      <c r="N172" s="138"/>
      <c r="O172" s="140"/>
      <c r="P172" s="140" t="n">
        <v>3000</v>
      </c>
      <c r="Q172" s="140"/>
      <c r="R172" s="140"/>
      <c r="S172" s="140"/>
      <c r="T172" s="141" t="n">
        <v>0.05</v>
      </c>
      <c r="U172" s="33" t="n">
        <f aca="false">P172*T172</f>
        <v>150</v>
      </c>
      <c r="V172" s="33" t="n">
        <f aca="false">SUM(U172,(U172*0.05))</f>
        <v>157.5</v>
      </c>
      <c r="W172" s="34" t="n">
        <f aca="false">P172+Q172+R172+S172</f>
        <v>3000</v>
      </c>
      <c r="X172" s="34" t="n">
        <f aca="false">SUM(P172:S172)-V172</f>
        <v>2842.5</v>
      </c>
      <c r="Y172" s="138"/>
    </row>
    <row r="173" customFormat="false" ht="22.5" hidden="false" customHeight="true" outlineLevel="0" collapsed="false">
      <c r="A173" s="137"/>
      <c r="B173" s="138" t="s">
        <v>103</v>
      </c>
      <c r="C173" s="143" t="s">
        <v>632</v>
      </c>
      <c r="D173" s="143" t="s">
        <v>633</v>
      </c>
      <c r="E173" s="139" t="s">
        <v>640</v>
      </c>
      <c r="F173" s="138" t="s">
        <v>27</v>
      </c>
      <c r="G173" s="138"/>
      <c r="H173" s="138" t="s">
        <v>114</v>
      </c>
      <c r="I173" s="138" t="s">
        <v>108</v>
      </c>
      <c r="J173" s="144" t="s">
        <v>641</v>
      </c>
      <c r="K173" s="138" t="s">
        <v>642</v>
      </c>
      <c r="L173" s="138"/>
      <c r="M173" s="138"/>
      <c r="N173" s="138"/>
      <c r="O173" s="140"/>
      <c r="P173" s="140" t="n">
        <v>1200</v>
      </c>
      <c r="Q173" s="140"/>
      <c r="R173" s="140"/>
      <c r="S173" s="140"/>
      <c r="T173" s="141" t="n">
        <v>0.05</v>
      </c>
      <c r="U173" s="33" t="n">
        <f aca="false">P173*T173</f>
        <v>60</v>
      </c>
      <c r="V173" s="33" t="n">
        <f aca="false">SUM(U173,(U173*0.05))</f>
        <v>63</v>
      </c>
      <c r="W173" s="34" t="n">
        <f aca="false">P173+Q173+R173+S173</f>
        <v>1200</v>
      </c>
      <c r="X173" s="34" t="n">
        <f aca="false">SUM(P173:S173)-V173</f>
        <v>1137</v>
      </c>
      <c r="Y173" s="138"/>
    </row>
    <row r="174" customFormat="false" ht="22.5" hidden="false" customHeight="true" outlineLevel="0" collapsed="false">
      <c r="A174" s="137"/>
      <c r="B174" s="138" t="s">
        <v>103</v>
      </c>
      <c r="C174" s="143" t="s">
        <v>632</v>
      </c>
      <c r="D174" s="143" t="s">
        <v>633</v>
      </c>
      <c r="E174" s="139" t="n">
        <v>3</v>
      </c>
      <c r="F174" s="138" t="s">
        <v>27</v>
      </c>
      <c r="G174" s="138"/>
      <c r="H174" s="138" t="s">
        <v>114</v>
      </c>
      <c r="I174" s="138" t="s">
        <v>108</v>
      </c>
      <c r="J174" s="144" t="s">
        <v>643</v>
      </c>
      <c r="K174" s="145" t="s">
        <v>644</v>
      </c>
      <c r="L174" s="138"/>
      <c r="M174" s="138"/>
      <c r="N174" s="138"/>
      <c r="O174" s="140"/>
      <c r="P174" s="140" t="n">
        <v>3000</v>
      </c>
      <c r="Q174" s="140"/>
      <c r="R174" s="140"/>
      <c r="S174" s="140"/>
      <c r="T174" s="141" t="n">
        <v>0.05</v>
      </c>
      <c r="U174" s="33" t="n">
        <f aca="false">P174*T174</f>
        <v>150</v>
      </c>
      <c r="V174" s="33" t="n">
        <f aca="false">SUM(U174,(U174*0.05))</f>
        <v>157.5</v>
      </c>
      <c r="W174" s="34" t="n">
        <f aca="false">P174+Q174+R174+S174</f>
        <v>3000</v>
      </c>
      <c r="X174" s="34" t="n">
        <f aca="false">SUM(P174:S174)-V174</f>
        <v>2842.5</v>
      </c>
      <c r="Y174" s="138"/>
    </row>
    <row r="175" customFormat="false" ht="22.5" hidden="false" customHeight="true" outlineLevel="0" collapsed="false">
      <c r="A175" s="137"/>
      <c r="B175" s="138" t="s">
        <v>103</v>
      </c>
      <c r="C175" s="146" t="s">
        <v>632</v>
      </c>
      <c r="D175" s="146" t="s">
        <v>633</v>
      </c>
      <c r="E175" s="139" t="s">
        <v>645</v>
      </c>
      <c r="F175" s="138" t="s">
        <v>27</v>
      </c>
      <c r="G175" s="138"/>
      <c r="H175" s="138" t="s">
        <v>114</v>
      </c>
      <c r="I175" s="138" t="s">
        <v>108</v>
      </c>
      <c r="J175" s="144" t="s">
        <v>646</v>
      </c>
      <c r="K175" s="148" t="s">
        <v>647</v>
      </c>
      <c r="L175" s="138"/>
      <c r="M175" s="138"/>
      <c r="N175" s="138"/>
      <c r="O175" s="140"/>
      <c r="P175" s="140" t="n">
        <v>1200</v>
      </c>
      <c r="Q175" s="140"/>
      <c r="R175" s="140"/>
      <c r="S175" s="140"/>
      <c r="T175" s="141" t="n">
        <v>0.05</v>
      </c>
      <c r="U175" s="33" t="n">
        <f aca="false">P175*T175</f>
        <v>60</v>
      </c>
      <c r="V175" s="33" t="n">
        <f aca="false">SUM(U175,(U175*0.05))</f>
        <v>63</v>
      </c>
      <c r="W175" s="34" t="n">
        <f aca="false">P175+Q175+R175+S175</f>
        <v>1200</v>
      </c>
      <c r="X175" s="34" t="n">
        <f aca="false">SUM(P175:S175)-V175</f>
        <v>1137</v>
      </c>
      <c r="Y175" s="138"/>
    </row>
    <row r="176" customFormat="false" ht="22.5" hidden="false" customHeight="true" outlineLevel="0" collapsed="false">
      <c r="A176" s="137"/>
      <c r="B176" s="138" t="s">
        <v>103</v>
      </c>
      <c r="C176" s="143" t="s">
        <v>632</v>
      </c>
      <c r="D176" s="143" t="s">
        <v>633</v>
      </c>
      <c r="E176" s="139" t="n">
        <v>4</v>
      </c>
      <c r="F176" s="138" t="s">
        <v>27</v>
      </c>
      <c r="G176" s="138"/>
      <c r="H176" s="138" t="s">
        <v>114</v>
      </c>
      <c r="I176" s="138" t="s">
        <v>108</v>
      </c>
      <c r="J176" s="144" t="s">
        <v>648</v>
      </c>
      <c r="K176" s="145" t="s">
        <v>649</v>
      </c>
      <c r="L176" s="138"/>
      <c r="M176" s="138"/>
      <c r="N176" s="138"/>
      <c r="O176" s="140"/>
      <c r="P176" s="140" t="n">
        <v>3000</v>
      </c>
      <c r="Q176" s="140"/>
      <c r="R176" s="140"/>
      <c r="S176" s="140"/>
      <c r="T176" s="141" t="n">
        <v>0.05</v>
      </c>
      <c r="U176" s="33" t="n">
        <f aca="false">P176*T176</f>
        <v>150</v>
      </c>
      <c r="V176" s="33" t="n">
        <f aca="false">SUM(U176,(U176*0.05))</f>
        <v>157.5</v>
      </c>
      <c r="W176" s="34" t="n">
        <f aca="false">P176+Q176+R176+S176</f>
        <v>3000</v>
      </c>
      <c r="X176" s="34" t="n">
        <f aca="false">SUM(P176:S176)-V176</f>
        <v>2842.5</v>
      </c>
      <c r="Y176" s="138"/>
    </row>
    <row r="177" customFormat="false" ht="22.5" hidden="false" customHeight="true" outlineLevel="0" collapsed="false">
      <c r="A177" s="137"/>
      <c r="B177" s="138" t="s">
        <v>103</v>
      </c>
      <c r="C177" s="146" t="s">
        <v>632</v>
      </c>
      <c r="D177" s="146" t="s">
        <v>633</v>
      </c>
      <c r="E177" s="139" t="s">
        <v>650</v>
      </c>
      <c r="F177" s="138" t="s">
        <v>27</v>
      </c>
      <c r="G177" s="138"/>
      <c r="H177" s="138" t="s">
        <v>114</v>
      </c>
      <c r="I177" s="138" t="s">
        <v>108</v>
      </c>
      <c r="J177" s="147" t="s">
        <v>651</v>
      </c>
      <c r="K177" s="138"/>
      <c r="L177" s="138"/>
      <c r="M177" s="138"/>
      <c r="N177" s="138"/>
      <c r="O177" s="140"/>
      <c r="P177" s="140"/>
      <c r="Q177" s="140"/>
      <c r="R177" s="140"/>
      <c r="S177" s="140"/>
      <c r="T177" s="141" t="n">
        <v>0.05</v>
      </c>
      <c r="U177" s="33" t="n">
        <f aca="false">P177*T177</f>
        <v>0</v>
      </c>
      <c r="V177" s="33" t="n">
        <f aca="false">SUM(U177,(U177*0.05))</f>
        <v>0</v>
      </c>
      <c r="W177" s="34" t="n">
        <f aca="false">P177+Q177+R177+S177</f>
        <v>0</v>
      </c>
      <c r="X177" s="34" t="n">
        <f aca="false">SUM(P177:S177)-V177</f>
        <v>0</v>
      </c>
      <c r="Y177" s="138"/>
    </row>
    <row r="178" customFormat="false" ht="22.5" hidden="false" customHeight="true" outlineLevel="0" collapsed="false">
      <c r="A178" s="137"/>
      <c r="B178" s="138" t="s">
        <v>103</v>
      </c>
      <c r="C178" s="149" t="s">
        <v>652</v>
      </c>
      <c r="D178" s="149" t="s">
        <v>653</v>
      </c>
      <c r="E178" s="139"/>
      <c r="F178" s="138" t="s">
        <v>27</v>
      </c>
      <c r="G178" s="138"/>
      <c r="H178" s="138"/>
      <c r="I178" s="138" t="s">
        <v>108</v>
      </c>
      <c r="J178" s="138"/>
      <c r="K178" s="138"/>
      <c r="L178" s="138"/>
      <c r="M178" s="138"/>
      <c r="N178" s="138"/>
      <c r="O178" s="140"/>
      <c r="P178" s="140"/>
      <c r="Q178" s="140"/>
      <c r="R178" s="140"/>
      <c r="S178" s="140"/>
      <c r="T178" s="141" t="n">
        <v>0.05</v>
      </c>
      <c r="U178" s="33" t="n">
        <f aca="false">P178*T178</f>
        <v>0</v>
      </c>
      <c r="V178" s="33" t="n">
        <f aca="false">SUM(U178,(U178*0.05))</f>
        <v>0</v>
      </c>
      <c r="W178" s="34" t="n">
        <f aca="false">P178+Q178+R178+S178</f>
        <v>0</v>
      </c>
      <c r="X178" s="34" t="n">
        <f aca="false">SUM(P178:S178)-V178</f>
        <v>0</v>
      </c>
      <c r="Y178" s="138"/>
    </row>
    <row r="179" customFormat="false" ht="22.5" hidden="false" customHeight="true" outlineLevel="0" collapsed="false">
      <c r="A179" s="137"/>
      <c r="B179" s="138" t="s">
        <v>103</v>
      </c>
      <c r="C179" s="149" t="s">
        <v>654</v>
      </c>
      <c r="D179" s="149" t="s">
        <v>653</v>
      </c>
      <c r="E179" s="139"/>
      <c r="F179" s="138" t="s">
        <v>27</v>
      </c>
      <c r="G179" s="138"/>
      <c r="H179" s="138"/>
      <c r="I179" s="138" t="s">
        <v>108</v>
      </c>
      <c r="J179" s="138"/>
      <c r="K179" s="138"/>
      <c r="L179" s="138"/>
      <c r="M179" s="138"/>
      <c r="N179" s="138"/>
      <c r="O179" s="140"/>
      <c r="P179" s="140"/>
      <c r="Q179" s="140"/>
      <c r="R179" s="140"/>
      <c r="S179" s="140"/>
      <c r="T179" s="141" t="n">
        <v>0.05</v>
      </c>
      <c r="U179" s="33" t="n">
        <f aca="false">P179*T179</f>
        <v>0</v>
      </c>
      <c r="V179" s="33" t="n">
        <f aca="false">SUM(U179,(U179*0.05))</f>
        <v>0</v>
      </c>
      <c r="W179" s="34" t="n">
        <f aca="false">P179+Q179+R179+S179</f>
        <v>0</v>
      </c>
      <c r="X179" s="34" t="n">
        <f aca="false">SUM(P179:S179)-V179</f>
        <v>0</v>
      </c>
      <c r="Y179" s="138"/>
    </row>
    <row r="180" customFormat="false" ht="22.5" hidden="false" customHeight="true" outlineLevel="0" collapsed="false">
      <c r="A180" s="137"/>
      <c r="B180" s="138" t="s">
        <v>103</v>
      </c>
      <c r="C180" s="150" t="s">
        <v>655</v>
      </c>
      <c r="D180" s="150" t="s">
        <v>656</v>
      </c>
      <c r="E180" s="139" t="n">
        <v>1701</v>
      </c>
      <c r="F180" s="138" t="s">
        <v>27</v>
      </c>
      <c r="G180" s="138"/>
      <c r="H180" s="138" t="s">
        <v>107</v>
      </c>
      <c r="I180" s="138" t="s">
        <v>108</v>
      </c>
      <c r="J180" s="151"/>
      <c r="K180" s="138"/>
      <c r="L180" s="138"/>
      <c r="M180" s="138"/>
      <c r="N180" s="138"/>
      <c r="O180" s="140"/>
      <c r="P180" s="140"/>
      <c r="Q180" s="140"/>
      <c r="R180" s="140"/>
      <c r="S180" s="140"/>
      <c r="T180" s="141"/>
      <c r="U180" s="142"/>
      <c r="V180" s="142"/>
      <c r="W180" s="142"/>
      <c r="X180" s="142"/>
      <c r="Y180" s="138"/>
    </row>
    <row r="181" customFormat="false" ht="22.5" hidden="false" customHeight="true" outlineLevel="0" collapsed="false">
      <c r="A181" s="137"/>
      <c r="B181" s="138" t="s">
        <v>103</v>
      </c>
      <c r="C181" s="149" t="s">
        <v>655</v>
      </c>
      <c r="D181" s="149" t="s">
        <v>656</v>
      </c>
      <c r="E181" s="139" t="s">
        <v>657</v>
      </c>
      <c r="F181" s="138" t="s">
        <v>27</v>
      </c>
      <c r="G181" s="138"/>
      <c r="H181" s="138" t="s">
        <v>114</v>
      </c>
      <c r="I181" s="138" t="s">
        <v>108</v>
      </c>
      <c r="J181" s="151" t="s">
        <v>658</v>
      </c>
      <c r="K181" s="138" t="s">
        <v>659</v>
      </c>
      <c r="L181" s="138"/>
      <c r="M181" s="138"/>
      <c r="N181" s="138"/>
      <c r="O181" s="140"/>
      <c r="P181" s="140" t="n">
        <v>1195</v>
      </c>
      <c r="Q181" s="140"/>
      <c r="R181" s="140"/>
      <c r="S181" s="140"/>
      <c r="T181" s="141" t="n">
        <v>0.065</v>
      </c>
      <c r="U181" s="33" t="n">
        <f aca="false">P181*T181</f>
        <v>77.675</v>
      </c>
      <c r="V181" s="33" t="n">
        <f aca="false">SUM(U181,(U181*0.05))</f>
        <v>81.55875</v>
      </c>
      <c r="W181" s="34" t="n">
        <f aca="false">P181+Q181+R181+S181</f>
        <v>1195</v>
      </c>
      <c r="X181" s="34" t="n">
        <f aca="false">SUM(P181:S181)-V181</f>
        <v>1113.44125</v>
      </c>
      <c r="Y181" s="138"/>
    </row>
    <row r="182" customFormat="false" ht="22.5" hidden="false" customHeight="true" outlineLevel="0" collapsed="false">
      <c r="A182" s="137"/>
      <c r="B182" s="138" t="s">
        <v>103</v>
      </c>
      <c r="C182" s="150" t="s">
        <v>655</v>
      </c>
      <c r="D182" s="150" t="s">
        <v>656</v>
      </c>
      <c r="E182" s="139" t="n">
        <v>3203</v>
      </c>
      <c r="F182" s="138" t="s">
        <v>27</v>
      </c>
      <c r="G182" s="138"/>
      <c r="H182" s="138" t="s">
        <v>107</v>
      </c>
      <c r="I182" s="138" t="s">
        <v>108</v>
      </c>
      <c r="J182" s="151"/>
      <c r="K182" s="138"/>
      <c r="L182" s="138"/>
      <c r="M182" s="138"/>
      <c r="N182" s="138"/>
      <c r="O182" s="140"/>
      <c r="P182" s="140"/>
      <c r="Q182" s="140"/>
      <c r="R182" s="140"/>
      <c r="S182" s="140"/>
      <c r="T182" s="141"/>
      <c r="U182" s="142"/>
      <c r="V182" s="142"/>
      <c r="W182" s="142"/>
      <c r="X182" s="142"/>
      <c r="Y182" s="138"/>
    </row>
    <row r="183" customFormat="false" ht="22.5" hidden="false" customHeight="true" outlineLevel="0" collapsed="false">
      <c r="A183" s="137"/>
      <c r="B183" s="138" t="s">
        <v>103</v>
      </c>
      <c r="C183" s="149" t="s">
        <v>655</v>
      </c>
      <c r="D183" s="149" t="s">
        <v>656</v>
      </c>
      <c r="E183" s="139" t="s">
        <v>660</v>
      </c>
      <c r="F183" s="138" t="s">
        <v>27</v>
      </c>
      <c r="G183" s="138"/>
      <c r="H183" s="138" t="s">
        <v>114</v>
      </c>
      <c r="I183" s="138" t="s">
        <v>108</v>
      </c>
      <c r="J183" s="151" t="s">
        <v>661</v>
      </c>
      <c r="K183" s="138" t="s">
        <v>662</v>
      </c>
      <c r="L183" s="138"/>
      <c r="M183" s="138"/>
      <c r="N183" s="138"/>
      <c r="O183" s="140"/>
      <c r="P183" s="140" t="n">
        <v>1195</v>
      </c>
      <c r="Q183" s="140"/>
      <c r="R183" s="140"/>
      <c r="S183" s="140"/>
      <c r="T183" s="141"/>
      <c r="U183" s="33" t="n">
        <f aca="false">P183*T183</f>
        <v>0</v>
      </c>
      <c r="V183" s="33" t="n">
        <f aca="false">SUM(U183,(U183*0.05))</f>
        <v>0</v>
      </c>
      <c r="W183" s="34" t="n">
        <f aca="false">P183+Q183+R183+S183</f>
        <v>1195</v>
      </c>
      <c r="X183" s="34" t="n">
        <f aca="false">SUM(P183:S183)-V183</f>
        <v>1195</v>
      </c>
      <c r="Y183" s="138"/>
    </row>
    <row r="184" customFormat="false" ht="22.5" hidden="false" customHeight="true" outlineLevel="0" collapsed="false">
      <c r="A184" s="137"/>
      <c r="B184" s="138" t="s">
        <v>103</v>
      </c>
      <c r="C184" s="150" t="s">
        <v>655</v>
      </c>
      <c r="D184" s="150" t="s">
        <v>656</v>
      </c>
      <c r="E184" s="139" t="n">
        <v>3207</v>
      </c>
      <c r="F184" s="138" t="s">
        <v>27</v>
      </c>
      <c r="G184" s="138"/>
      <c r="H184" s="138" t="s">
        <v>107</v>
      </c>
      <c r="I184" s="138" t="s">
        <v>108</v>
      </c>
      <c r="J184" s="151"/>
      <c r="K184" s="138"/>
      <c r="L184" s="138"/>
      <c r="M184" s="138"/>
      <c r="N184" s="138"/>
      <c r="O184" s="140"/>
      <c r="P184" s="140"/>
      <c r="Q184" s="140"/>
      <c r="R184" s="140"/>
      <c r="S184" s="140"/>
      <c r="T184" s="141"/>
      <c r="U184" s="142"/>
      <c r="V184" s="142"/>
      <c r="W184" s="142"/>
      <c r="X184" s="142"/>
      <c r="Y184" s="138"/>
    </row>
    <row r="185" customFormat="false" ht="22.5" hidden="false" customHeight="true" outlineLevel="0" collapsed="false">
      <c r="A185" s="137"/>
      <c r="B185" s="138" t="s">
        <v>103</v>
      </c>
      <c r="C185" s="149" t="s">
        <v>655</v>
      </c>
      <c r="D185" s="149" t="s">
        <v>656</v>
      </c>
      <c r="E185" s="139" t="s">
        <v>663</v>
      </c>
      <c r="F185" s="138" t="s">
        <v>27</v>
      </c>
      <c r="G185" s="138"/>
      <c r="H185" s="138" t="s">
        <v>114</v>
      </c>
      <c r="I185" s="138" t="s">
        <v>108</v>
      </c>
      <c r="J185" s="151" t="s">
        <v>664</v>
      </c>
      <c r="K185" s="138" t="s">
        <v>665</v>
      </c>
      <c r="L185" s="138"/>
      <c r="M185" s="138"/>
      <c r="N185" s="138"/>
      <c r="O185" s="140"/>
      <c r="P185" s="140" t="n">
        <v>1195</v>
      </c>
      <c r="Q185" s="140"/>
      <c r="R185" s="140"/>
      <c r="S185" s="140"/>
      <c r="T185" s="141"/>
      <c r="U185" s="33" t="n">
        <f aca="false">P185*T185</f>
        <v>0</v>
      </c>
      <c r="V185" s="33" t="n">
        <f aca="false">SUM(U185,(U185*0.05))</f>
        <v>0</v>
      </c>
      <c r="W185" s="34" t="n">
        <f aca="false">P185+Q185+R185+S185</f>
        <v>1195</v>
      </c>
      <c r="X185" s="34" t="n">
        <f aca="false">SUM(P185:S185)-V185</f>
        <v>1195</v>
      </c>
      <c r="Y185" s="138"/>
    </row>
    <row r="186" customFormat="false" ht="22.5" hidden="false" customHeight="true" outlineLevel="0" collapsed="false">
      <c r="A186" s="137"/>
      <c r="B186" s="138" t="s">
        <v>103</v>
      </c>
      <c r="C186" s="150" t="s">
        <v>655</v>
      </c>
      <c r="D186" s="150" t="s">
        <v>656</v>
      </c>
      <c r="E186" s="139" t="n">
        <v>3211</v>
      </c>
      <c r="F186" s="138" t="s">
        <v>27</v>
      </c>
      <c r="G186" s="138"/>
      <c r="H186" s="138" t="s">
        <v>107</v>
      </c>
      <c r="I186" s="138" t="s">
        <v>108</v>
      </c>
      <c r="J186" s="151"/>
      <c r="K186" s="138"/>
      <c r="L186" s="138"/>
      <c r="M186" s="138"/>
      <c r="N186" s="138"/>
      <c r="O186" s="140"/>
      <c r="P186" s="140"/>
      <c r="Q186" s="140"/>
      <c r="R186" s="140"/>
      <c r="S186" s="140"/>
      <c r="T186" s="141"/>
      <c r="U186" s="142"/>
      <c r="V186" s="142"/>
      <c r="W186" s="142"/>
      <c r="X186" s="142"/>
      <c r="Y186" s="138"/>
    </row>
    <row r="187" customFormat="false" ht="22.5" hidden="false" customHeight="true" outlineLevel="0" collapsed="false">
      <c r="A187" s="137"/>
      <c r="B187" s="138" t="s">
        <v>103</v>
      </c>
      <c r="C187" s="149" t="s">
        <v>666</v>
      </c>
      <c r="D187" s="149" t="s">
        <v>667</v>
      </c>
      <c r="E187" s="139" t="s">
        <v>668</v>
      </c>
      <c r="F187" s="138" t="s">
        <v>27</v>
      </c>
      <c r="G187" s="138"/>
      <c r="H187" s="138" t="s">
        <v>114</v>
      </c>
      <c r="I187" s="138" t="s">
        <v>108</v>
      </c>
      <c r="J187" s="151" t="s">
        <v>669</v>
      </c>
      <c r="K187" s="138" t="s">
        <v>670</v>
      </c>
      <c r="L187" s="138"/>
      <c r="M187" s="138"/>
      <c r="N187" s="138"/>
      <c r="O187" s="140"/>
      <c r="P187" s="140" t="n">
        <v>1195</v>
      </c>
      <c r="Q187" s="140"/>
      <c r="R187" s="140"/>
      <c r="S187" s="140"/>
      <c r="T187" s="141"/>
      <c r="U187" s="33" t="n">
        <f aca="false">P187*T187</f>
        <v>0</v>
      </c>
      <c r="V187" s="33" t="n">
        <f aca="false">SUM(U187,(U187*0.05))</f>
        <v>0</v>
      </c>
      <c r="W187" s="34" t="n">
        <f aca="false">P187+Q187+R187+S187</f>
        <v>1195</v>
      </c>
      <c r="X187" s="34" t="n">
        <f aca="false">SUM(P187:S187)-V187</f>
        <v>1195</v>
      </c>
      <c r="Y187" s="138"/>
    </row>
    <row r="188" customFormat="false" ht="22.5" hidden="false" customHeight="true" outlineLevel="0" collapsed="false">
      <c r="A188" s="137"/>
      <c r="B188" s="138" t="s">
        <v>103</v>
      </c>
      <c r="C188" s="149" t="s">
        <v>671</v>
      </c>
      <c r="D188" s="149" t="s">
        <v>672</v>
      </c>
      <c r="E188" s="41" t="s">
        <v>645</v>
      </c>
      <c r="F188" s="138" t="s">
        <v>27</v>
      </c>
      <c r="G188" s="138"/>
      <c r="H188" s="138" t="s">
        <v>114</v>
      </c>
      <c r="I188" s="138" t="s">
        <v>108</v>
      </c>
      <c r="J188" s="41" t="s">
        <v>673</v>
      </c>
      <c r="K188" s="138"/>
      <c r="L188" s="138"/>
      <c r="M188" s="152" t="n">
        <v>46204</v>
      </c>
      <c r="N188" s="152" t="n">
        <v>46568</v>
      </c>
      <c r="O188" s="44"/>
      <c r="P188" s="44" t="n">
        <v>1200</v>
      </c>
      <c r="Q188" s="140"/>
      <c r="R188" s="140"/>
      <c r="S188" s="140"/>
      <c r="T188" s="141" t="n">
        <v>0.05</v>
      </c>
      <c r="U188" s="153" t="n">
        <f aca="false">P188*T188</f>
        <v>60</v>
      </c>
      <c r="V188" s="153" t="n">
        <f aca="false">SUM(U188,(U188*0.05))</f>
        <v>63</v>
      </c>
      <c r="W188" s="153" t="n">
        <f aca="false">P188+Q188+R188+S188</f>
        <v>1200</v>
      </c>
      <c r="X188" s="153" t="n">
        <f aca="false">SUM(P188:S188)-V188</f>
        <v>1137</v>
      </c>
      <c r="Y188" s="138"/>
    </row>
    <row r="189" customFormat="false" ht="22.5" hidden="false" customHeight="true" outlineLevel="0" collapsed="false">
      <c r="A189" s="101"/>
      <c r="B189" s="41" t="s">
        <v>103</v>
      </c>
      <c r="C189" s="154" t="s">
        <v>671</v>
      </c>
      <c r="D189" s="154" t="s">
        <v>672</v>
      </c>
      <c r="E189" s="41"/>
      <c r="F189" s="155" t="s">
        <v>27</v>
      </c>
      <c r="G189" s="41"/>
      <c r="H189" s="41" t="s">
        <v>107</v>
      </c>
      <c r="I189" s="41" t="s">
        <v>108</v>
      </c>
      <c r="J189" s="41"/>
      <c r="K189" s="41"/>
      <c r="L189" s="41"/>
      <c r="M189" s="152"/>
      <c r="N189" s="152"/>
      <c r="O189" s="44"/>
      <c r="P189" s="44"/>
      <c r="Q189" s="44"/>
      <c r="R189" s="44"/>
      <c r="S189" s="44"/>
      <c r="T189" s="156" t="n">
        <v>0.05</v>
      </c>
      <c r="U189" s="153" t="n">
        <f aca="false">P189*T189</f>
        <v>0</v>
      </c>
      <c r="V189" s="153" t="n">
        <f aca="false">SUM(U189,(U189*0.05))</f>
        <v>0</v>
      </c>
      <c r="W189" s="153" t="n">
        <f aca="false">P189+Q189+R189+S189</f>
        <v>0</v>
      </c>
      <c r="X189" s="153" t="n">
        <f aca="false">SUM(P189:S189)-V189</f>
        <v>0</v>
      </c>
      <c r="Y189" s="41"/>
      <c r="Z189" s="70"/>
      <c r="AA189" s="70"/>
    </row>
    <row r="190" customFormat="false" ht="22.5" hidden="false" customHeight="true" outlineLevel="0" collapsed="false">
      <c r="A190" s="137"/>
      <c r="B190" s="138" t="s">
        <v>103</v>
      </c>
      <c r="C190" s="149" t="s">
        <v>674</v>
      </c>
      <c r="D190" s="149" t="s">
        <v>675</v>
      </c>
      <c r="E190" s="139"/>
      <c r="F190" s="138" t="s">
        <v>27</v>
      </c>
      <c r="G190" s="138"/>
      <c r="H190" s="138" t="s">
        <v>114</v>
      </c>
      <c r="I190" s="138" t="s">
        <v>108</v>
      </c>
      <c r="J190" s="138"/>
      <c r="K190" s="138"/>
      <c r="L190" s="138"/>
      <c r="M190" s="138"/>
      <c r="N190" s="138"/>
      <c r="O190" s="140"/>
      <c r="P190" s="140"/>
      <c r="Q190" s="140"/>
      <c r="R190" s="140"/>
      <c r="S190" s="140"/>
      <c r="T190" s="141" t="n">
        <v>0.05</v>
      </c>
      <c r="U190" s="33" t="n">
        <f aca="false">P190*T190</f>
        <v>0</v>
      </c>
      <c r="V190" s="33" t="n">
        <f aca="false">SUM(U190,(U190*0.05))</f>
        <v>0</v>
      </c>
      <c r="W190" s="34" t="n">
        <f aca="false">P190+Q190+R190+S190</f>
        <v>0</v>
      </c>
      <c r="X190" s="34" t="n">
        <f aca="false">SUM(P190:S190)-V190</f>
        <v>0</v>
      </c>
      <c r="Y190" s="138"/>
    </row>
    <row r="191" customFormat="false" ht="22.5" hidden="false" customHeight="true" outlineLevel="0" collapsed="false">
      <c r="A191" s="120"/>
      <c r="B191" s="27" t="s">
        <v>103</v>
      </c>
      <c r="C191" s="157" t="s">
        <v>674</v>
      </c>
      <c r="D191" s="157" t="s">
        <v>675</v>
      </c>
      <c r="E191" s="158" t="n">
        <v>2</v>
      </c>
      <c r="F191" s="159" t="s">
        <v>27</v>
      </c>
      <c r="G191" s="27"/>
      <c r="H191" s="27" t="s">
        <v>114</v>
      </c>
      <c r="I191" s="27" t="s">
        <v>108</v>
      </c>
      <c r="J191" s="27" t="s">
        <v>676</v>
      </c>
      <c r="K191" s="27"/>
      <c r="L191" s="27"/>
      <c r="M191" s="160" t="n">
        <v>45900</v>
      </c>
      <c r="N191" s="160" t="n">
        <v>46234</v>
      </c>
      <c r="O191" s="31"/>
      <c r="P191" s="31" t="n">
        <v>3200</v>
      </c>
      <c r="Q191" s="31"/>
      <c r="R191" s="31"/>
      <c r="S191" s="31"/>
      <c r="T191" s="69" t="n">
        <v>0.05</v>
      </c>
      <c r="U191" s="122" t="n">
        <f aca="false">P191*T191</f>
        <v>160</v>
      </c>
      <c r="V191" s="122" t="n">
        <f aca="false">SUM(U191,(U191*0.05))</f>
        <v>168</v>
      </c>
      <c r="W191" s="122" t="n">
        <f aca="false">P191+Q191+R191+S191</f>
        <v>3200</v>
      </c>
      <c r="X191" s="122" t="n">
        <f aca="false">SUM(P191:S191)-V191</f>
        <v>3032</v>
      </c>
      <c r="Y191" s="27"/>
      <c r="Z191" s="70"/>
      <c r="AA191" s="70"/>
    </row>
    <row r="192" customFormat="false" ht="22.5" hidden="false" customHeight="true" outlineLevel="0" collapsed="false">
      <c r="A192" s="120"/>
      <c r="B192" s="27" t="s">
        <v>103</v>
      </c>
      <c r="C192" s="157" t="s">
        <v>674</v>
      </c>
      <c r="D192" s="157" t="s">
        <v>675</v>
      </c>
      <c r="E192" s="158" t="s">
        <v>645</v>
      </c>
      <c r="F192" s="159" t="s">
        <v>27</v>
      </c>
      <c r="G192" s="27"/>
      <c r="H192" s="27" t="s">
        <v>114</v>
      </c>
      <c r="I192" s="27" t="s">
        <v>108</v>
      </c>
      <c r="J192" s="27" t="s">
        <v>677</v>
      </c>
      <c r="K192" s="27"/>
      <c r="L192" s="27"/>
      <c r="M192" s="160" t="n">
        <v>46242</v>
      </c>
      <c r="N192" s="160" t="n">
        <v>46599</v>
      </c>
      <c r="O192" s="31"/>
      <c r="P192" s="31" t="n">
        <v>1199</v>
      </c>
      <c r="Q192" s="31"/>
      <c r="R192" s="31"/>
      <c r="S192" s="31"/>
      <c r="T192" s="69" t="n">
        <v>0.05</v>
      </c>
      <c r="U192" s="122" t="n">
        <f aca="false">P192*T192</f>
        <v>59.95</v>
      </c>
      <c r="V192" s="122" t="n">
        <f aca="false">SUM(U192,(U192*0.05))</f>
        <v>62.9475</v>
      </c>
      <c r="W192" s="122" t="n">
        <f aca="false">P192+Q192+R192+S192</f>
        <v>1199</v>
      </c>
      <c r="X192" s="122" t="n">
        <f aca="false">SUM(P192:S192)-V192</f>
        <v>1136.0525</v>
      </c>
      <c r="Y192" s="27"/>
      <c r="Z192" s="70"/>
      <c r="AA192" s="70"/>
    </row>
    <row r="193" customFormat="false" ht="22.5" hidden="false" customHeight="true" outlineLevel="0" collapsed="false">
      <c r="A193" s="120"/>
      <c r="B193" s="27" t="s">
        <v>103</v>
      </c>
      <c r="C193" s="157" t="s">
        <v>674</v>
      </c>
      <c r="D193" s="157" t="s">
        <v>675</v>
      </c>
      <c r="E193" s="158" t="s">
        <v>650</v>
      </c>
      <c r="F193" s="159" t="s">
        <v>27</v>
      </c>
      <c r="G193" s="27"/>
      <c r="H193" s="27" t="s">
        <v>114</v>
      </c>
      <c r="I193" s="27" t="s">
        <v>108</v>
      </c>
      <c r="J193" s="161" t="s">
        <v>678</v>
      </c>
      <c r="K193" s="27"/>
      <c r="L193" s="27"/>
      <c r="M193" s="160" t="n">
        <v>45870</v>
      </c>
      <c r="N193" s="160" t="n">
        <v>46234</v>
      </c>
      <c r="O193" s="31"/>
      <c r="P193" s="31"/>
      <c r="Q193" s="31"/>
      <c r="R193" s="31"/>
      <c r="S193" s="31"/>
      <c r="T193" s="69"/>
      <c r="U193" s="122" t="n">
        <f aca="false">P193*T193</f>
        <v>0</v>
      </c>
      <c r="V193" s="122" t="n">
        <f aca="false">SUM(U193,(U193*0.05))</f>
        <v>0</v>
      </c>
      <c r="W193" s="122" t="n">
        <f aca="false">P193+Q193+R193+S193</f>
        <v>0</v>
      </c>
      <c r="X193" s="122" t="n">
        <f aca="false">SUM(P193:S193)-V193</f>
        <v>0</v>
      </c>
      <c r="Y193" s="27" t="s">
        <v>679</v>
      </c>
      <c r="Z193" s="70"/>
      <c r="AA193" s="70"/>
    </row>
    <row r="194" customFormat="false" ht="22.5" hidden="false" customHeight="true" outlineLevel="0" collapsed="false">
      <c r="A194" s="137"/>
      <c r="B194" s="138" t="s">
        <v>103</v>
      </c>
      <c r="C194" s="149" t="s">
        <v>680</v>
      </c>
      <c r="D194" s="149" t="s">
        <v>681</v>
      </c>
      <c r="E194" s="139"/>
      <c r="F194" s="138" t="s">
        <v>27</v>
      </c>
      <c r="G194" s="138"/>
      <c r="H194" s="138" t="s">
        <v>114</v>
      </c>
      <c r="I194" s="138" t="s">
        <v>108</v>
      </c>
      <c r="J194" s="138"/>
      <c r="K194" s="138"/>
      <c r="L194" s="138"/>
      <c r="M194" s="138"/>
      <c r="N194" s="138"/>
      <c r="O194" s="140"/>
      <c r="P194" s="140"/>
      <c r="Q194" s="140"/>
      <c r="R194" s="140"/>
      <c r="S194" s="140"/>
      <c r="T194" s="141" t="n">
        <v>0.05</v>
      </c>
      <c r="U194" s="33" t="n">
        <f aca="false">P194*T194</f>
        <v>0</v>
      </c>
      <c r="V194" s="33" t="n">
        <f aca="false">SUM(U194,(U194*0.05))</f>
        <v>0</v>
      </c>
      <c r="W194" s="34" t="n">
        <f aca="false">P194+Q194+R194+S194</f>
        <v>0</v>
      </c>
      <c r="X194" s="34" t="n">
        <f aca="false">SUM(P194:S194)-V194</f>
        <v>0</v>
      </c>
      <c r="Y194" s="138"/>
    </row>
    <row r="195" customFormat="false" ht="22.5" hidden="false" customHeight="true" outlineLevel="0" collapsed="false">
      <c r="A195" s="137"/>
      <c r="B195" s="138" t="s">
        <v>103</v>
      </c>
      <c r="C195" s="149" t="s">
        <v>682</v>
      </c>
      <c r="D195" s="149" t="s">
        <v>683</v>
      </c>
      <c r="E195" s="139"/>
      <c r="F195" s="138" t="s">
        <v>27</v>
      </c>
      <c r="G195" s="138"/>
      <c r="H195" s="138" t="s">
        <v>114</v>
      </c>
      <c r="I195" s="138" t="s">
        <v>108</v>
      </c>
      <c r="J195" s="138"/>
      <c r="K195" s="138"/>
      <c r="L195" s="138"/>
      <c r="M195" s="138"/>
      <c r="N195" s="138"/>
      <c r="O195" s="140"/>
      <c r="P195" s="140"/>
      <c r="Q195" s="140"/>
      <c r="R195" s="140"/>
      <c r="S195" s="140"/>
      <c r="T195" s="141" t="n">
        <v>0.05</v>
      </c>
      <c r="U195" s="33" t="n">
        <f aca="false">P195*T195</f>
        <v>0</v>
      </c>
      <c r="V195" s="33" t="n">
        <f aca="false">SUM(U195,(U195*0.05))</f>
        <v>0</v>
      </c>
      <c r="W195" s="34" t="n">
        <f aca="false">P195+Q195+R195+S195</f>
        <v>0</v>
      </c>
      <c r="X195" s="34" t="n">
        <f aca="false">SUM(P195:S195)-V195</f>
        <v>0</v>
      </c>
      <c r="Y195" s="138"/>
    </row>
    <row r="196" customFormat="false" ht="22.5" hidden="false" customHeight="true" outlineLevel="0" collapsed="false">
      <c r="A196" s="137"/>
      <c r="B196" s="138" t="s">
        <v>103</v>
      </c>
      <c r="C196" s="149" t="s">
        <v>684</v>
      </c>
      <c r="D196" s="149" t="s">
        <v>685</v>
      </c>
      <c r="E196" s="139"/>
      <c r="F196" s="138" t="s">
        <v>27</v>
      </c>
      <c r="G196" s="138"/>
      <c r="H196" s="138" t="s">
        <v>114</v>
      </c>
      <c r="I196" s="138" t="s">
        <v>108</v>
      </c>
      <c r="J196" s="138"/>
      <c r="K196" s="138"/>
      <c r="L196" s="138"/>
      <c r="M196" s="138"/>
      <c r="N196" s="138"/>
      <c r="O196" s="140"/>
      <c r="P196" s="140"/>
      <c r="Q196" s="140"/>
      <c r="R196" s="140"/>
      <c r="S196" s="140"/>
      <c r="T196" s="141" t="n">
        <v>0.05</v>
      </c>
      <c r="U196" s="33" t="n">
        <f aca="false">P196*T196</f>
        <v>0</v>
      </c>
      <c r="V196" s="33" t="n">
        <f aca="false">SUM(U196,(U196*0.05))</f>
        <v>0</v>
      </c>
      <c r="W196" s="34" t="n">
        <f aca="false">P196+Q196+R196+S196</f>
        <v>0</v>
      </c>
      <c r="X196" s="34" t="n">
        <f aca="false">SUM(P196:S196)-V196</f>
        <v>0</v>
      </c>
      <c r="Y196" s="138"/>
    </row>
    <row r="197" customFormat="false" ht="22.5" hidden="false" customHeight="true" outlineLevel="0" collapsed="false">
      <c r="A197" s="137"/>
      <c r="B197" s="138" t="s">
        <v>103</v>
      </c>
      <c r="C197" s="149" t="s">
        <v>654</v>
      </c>
      <c r="D197" s="149" t="s">
        <v>685</v>
      </c>
      <c r="E197" s="139"/>
      <c r="F197" s="138" t="s">
        <v>27</v>
      </c>
      <c r="G197" s="138"/>
      <c r="H197" s="138" t="s">
        <v>114</v>
      </c>
      <c r="I197" s="138" t="s">
        <v>108</v>
      </c>
      <c r="J197" s="138"/>
      <c r="K197" s="138"/>
      <c r="L197" s="138"/>
      <c r="M197" s="138"/>
      <c r="N197" s="138"/>
      <c r="O197" s="140"/>
      <c r="P197" s="140"/>
      <c r="Q197" s="140"/>
      <c r="R197" s="140"/>
      <c r="S197" s="140"/>
      <c r="T197" s="141" t="n">
        <v>0.05</v>
      </c>
      <c r="U197" s="33" t="n">
        <f aca="false">P197*T197</f>
        <v>0</v>
      </c>
      <c r="V197" s="33" t="n">
        <f aca="false">SUM(U197,(U197*0.05))</f>
        <v>0</v>
      </c>
      <c r="W197" s="34" t="n">
        <f aca="false">P197+Q197+R197+S197</f>
        <v>0</v>
      </c>
      <c r="X197" s="34" t="n">
        <f aca="false">SUM(P197:S197)-V197</f>
        <v>0</v>
      </c>
      <c r="Y197" s="138"/>
    </row>
    <row r="198" customFormat="false" ht="22.5" hidden="false" customHeight="true" outlineLevel="0" collapsed="false">
      <c r="A198" s="137"/>
      <c r="B198" s="138" t="s">
        <v>103</v>
      </c>
      <c r="C198" s="149" t="s">
        <v>654</v>
      </c>
      <c r="D198" s="149" t="s">
        <v>686</v>
      </c>
      <c r="E198" s="139"/>
      <c r="F198" s="138" t="s">
        <v>27</v>
      </c>
      <c r="G198" s="138"/>
      <c r="H198" s="138" t="s">
        <v>114</v>
      </c>
      <c r="I198" s="138" t="s">
        <v>108</v>
      </c>
      <c r="J198" s="138"/>
      <c r="K198" s="138"/>
      <c r="L198" s="138"/>
      <c r="M198" s="138"/>
      <c r="N198" s="138"/>
      <c r="O198" s="140"/>
      <c r="P198" s="140"/>
      <c r="Q198" s="140"/>
      <c r="R198" s="140"/>
      <c r="S198" s="140"/>
      <c r="T198" s="141"/>
      <c r="U198" s="33" t="n">
        <f aca="false">P198*T198</f>
        <v>0</v>
      </c>
      <c r="V198" s="33" t="n">
        <f aca="false">SUM(U198,(U198*0.05))</f>
        <v>0</v>
      </c>
      <c r="W198" s="34" t="n">
        <f aca="false">P198+Q198+R198+S198</f>
        <v>0</v>
      </c>
      <c r="X198" s="34" t="n">
        <f aca="false">SUM(P198:S198)-V198</f>
        <v>0</v>
      </c>
      <c r="Y198" s="138"/>
    </row>
    <row r="199" customFormat="false" ht="22.5" hidden="false" customHeight="true" outlineLevel="0" collapsed="false">
      <c r="A199" s="137"/>
      <c r="B199" s="138" t="s">
        <v>103</v>
      </c>
      <c r="C199" s="149" t="s">
        <v>687</v>
      </c>
      <c r="D199" s="149" t="s">
        <v>688</v>
      </c>
      <c r="E199" s="139"/>
      <c r="F199" s="138" t="s">
        <v>27</v>
      </c>
      <c r="G199" s="138"/>
      <c r="H199" s="138" t="s">
        <v>114</v>
      </c>
      <c r="I199" s="138" t="s">
        <v>108</v>
      </c>
      <c r="J199" s="138"/>
      <c r="K199" s="138"/>
      <c r="L199" s="138"/>
      <c r="M199" s="138"/>
      <c r="N199" s="138"/>
      <c r="O199" s="140"/>
      <c r="P199" s="140"/>
      <c r="Q199" s="140"/>
      <c r="R199" s="140"/>
      <c r="S199" s="140"/>
      <c r="T199" s="141" t="n">
        <v>0.1</v>
      </c>
      <c r="U199" s="33" t="n">
        <f aca="false">P199*T199</f>
        <v>0</v>
      </c>
      <c r="V199" s="33" t="n">
        <f aca="false">SUM(U199,(U199*0.05))</f>
        <v>0</v>
      </c>
      <c r="W199" s="34" t="n">
        <f aca="false">P199+Q199+R199+S199</f>
        <v>0</v>
      </c>
      <c r="X199" s="34" t="n">
        <f aca="false">SUM(P199:S199)-V199</f>
        <v>0</v>
      </c>
      <c r="Y199" s="138" t="s">
        <v>689</v>
      </c>
    </row>
    <row r="200" customFormat="false" ht="22.5" hidden="false" customHeight="true" outlineLevel="0" collapsed="false">
      <c r="A200" s="137"/>
      <c r="B200" s="138" t="s">
        <v>103</v>
      </c>
      <c r="C200" s="149" t="s">
        <v>690</v>
      </c>
      <c r="D200" s="149" t="s">
        <v>691</v>
      </c>
      <c r="E200" s="139"/>
      <c r="F200" s="138" t="s">
        <v>27</v>
      </c>
      <c r="G200" s="138"/>
      <c r="H200" s="138" t="s">
        <v>114</v>
      </c>
      <c r="I200" s="138" t="s">
        <v>108</v>
      </c>
      <c r="J200" s="138"/>
      <c r="K200" s="138"/>
      <c r="L200" s="138"/>
      <c r="M200" s="138"/>
      <c r="N200" s="138"/>
      <c r="O200" s="140"/>
      <c r="P200" s="140"/>
      <c r="Q200" s="140"/>
      <c r="R200" s="140"/>
      <c r="S200" s="140"/>
      <c r="T200" s="141" t="n">
        <v>0.05</v>
      </c>
      <c r="U200" s="33" t="n">
        <f aca="false">P200*T200</f>
        <v>0</v>
      </c>
      <c r="V200" s="33" t="n">
        <f aca="false">SUM(U200,(U200*0.05))</f>
        <v>0</v>
      </c>
      <c r="W200" s="34" t="n">
        <f aca="false">P200+Q200+R200+S200</f>
        <v>0</v>
      </c>
      <c r="X200" s="34" t="n">
        <f aca="false">SUM(P200:S200)-V200</f>
        <v>0</v>
      </c>
      <c r="Y200" s="138"/>
    </row>
    <row r="201" customFormat="false" ht="22.5" hidden="false" customHeight="true" outlineLevel="0" collapsed="false">
      <c r="A201" s="137"/>
      <c r="B201" s="138" t="s">
        <v>103</v>
      </c>
      <c r="C201" s="149" t="s">
        <v>692</v>
      </c>
      <c r="D201" s="149" t="s">
        <v>693</v>
      </c>
      <c r="E201" s="139"/>
      <c r="F201" s="138" t="s">
        <v>27</v>
      </c>
      <c r="G201" s="138"/>
      <c r="H201" s="138" t="s">
        <v>114</v>
      </c>
      <c r="I201" s="138" t="s">
        <v>108</v>
      </c>
      <c r="J201" s="138"/>
      <c r="K201" s="138"/>
      <c r="L201" s="138"/>
      <c r="M201" s="138"/>
      <c r="N201" s="138"/>
      <c r="O201" s="140"/>
      <c r="P201" s="140"/>
      <c r="Q201" s="140"/>
      <c r="R201" s="140"/>
      <c r="S201" s="140"/>
      <c r="T201" s="141" t="n">
        <v>0.1</v>
      </c>
      <c r="U201" s="33" t="n">
        <f aca="false">P201*T201</f>
        <v>0</v>
      </c>
      <c r="V201" s="33" t="n">
        <f aca="false">SUM(U201,(U201*0.05))</f>
        <v>0</v>
      </c>
      <c r="W201" s="34" t="n">
        <f aca="false">P201+Q201+R201+S201</f>
        <v>0</v>
      </c>
      <c r="X201" s="34" t="n">
        <f aca="false">SUM(P201:S201)-V201</f>
        <v>0</v>
      </c>
      <c r="Y201" s="138"/>
    </row>
    <row r="202" customFormat="false" ht="22.5" hidden="false" customHeight="true" outlineLevel="0" collapsed="false">
      <c r="A202" s="137"/>
      <c r="B202" s="138" t="s">
        <v>103</v>
      </c>
      <c r="C202" s="149" t="s">
        <v>687</v>
      </c>
      <c r="D202" s="149" t="s">
        <v>693</v>
      </c>
      <c r="E202" s="139"/>
      <c r="F202" s="138" t="s">
        <v>27</v>
      </c>
      <c r="G202" s="138"/>
      <c r="H202" s="138" t="s">
        <v>114</v>
      </c>
      <c r="I202" s="138" t="s">
        <v>108</v>
      </c>
      <c r="J202" s="138"/>
      <c r="K202" s="138"/>
      <c r="L202" s="138"/>
      <c r="M202" s="138"/>
      <c r="N202" s="138"/>
      <c r="O202" s="140"/>
      <c r="P202" s="140"/>
      <c r="Q202" s="140"/>
      <c r="R202" s="140"/>
      <c r="S202" s="140"/>
      <c r="T202" s="141" t="n">
        <v>0.1</v>
      </c>
      <c r="U202" s="33" t="n">
        <f aca="false">P202*T202</f>
        <v>0</v>
      </c>
      <c r="V202" s="33" t="n">
        <f aca="false">SUM(U202,(U202*0.05))</f>
        <v>0</v>
      </c>
      <c r="W202" s="34" t="n">
        <f aca="false">P202+Q202+R202+S202</f>
        <v>0</v>
      </c>
      <c r="X202" s="34" t="n">
        <f aca="false">SUM(P202:S202)-V202</f>
        <v>0</v>
      </c>
      <c r="Y202" s="138"/>
    </row>
    <row r="203" customFormat="false" ht="22.5" hidden="false" customHeight="true" outlineLevel="0" collapsed="false">
      <c r="A203" s="137"/>
      <c r="B203" s="138" t="s">
        <v>103</v>
      </c>
      <c r="C203" s="149" t="s">
        <v>694</v>
      </c>
      <c r="D203" s="149" t="s">
        <v>695</v>
      </c>
      <c r="E203" s="139"/>
      <c r="F203" s="138" t="s">
        <v>27</v>
      </c>
      <c r="G203" s="138"/>
      <c r="H203" s="138" t="s">
        <v>114</v>
      </c>
      <c r="I203" s="138" t="s">
        <v>108</v>
      </c>
      <c r="J203" s="138"/>
      <c r="K203" s="138"/>
      <c r="L203" s="138"/>
      <c r="M203" s="138"/>
      <c r="N203" s="138"/>
      <c r="O203" s="140"/>
      <c r="P203" s="140"/>
      <c r="Q203" s="140"/>
      <c r="R203" s="140"/>
      <c r="S203" s="140"/>
      <c r="T203" s="141" t="n">
        <v>0.05</v>
      </c>
      <c r="U203" s="33" t="n">
        <f aca="false">P203*T203</f>
        <v>0</v>
      </c>
      <c r="V203" s="33" t="n">
        <f aca="false">SUM(U203,(U203*0.05))</f>
        <v>0</v>
      </c>
      <c r="W203" s="34" t="n">
        <f aca="false">P203+Q203+R203+S203</f>
        <v>0</v>
      </c>
      <c r="X203" s="34" t="n">
        <f aca="false">SUM(P203:S203)-V203</f>
        <v>0</v>
      </c>
      <c r="Y203" s="138"/>
    </row>
    <row r="204" customFormat="false" ht="22.5" hidden="false" customHeight="true" outlineLevel="0" collapsed="false">
      <c r="A204" s="137"/>
      <c r="B204" s="138" t="s">
        <v>103</v>
      </c>
      <c r="C204" s="149" t="s">
        <v>696</v>
      </c>
      <c r="D204" s="149" t="s">
        <v>697</v>
      </c>
      <c r="E204" s="139"/>
      <c r="F204" s="138" t="s">
        <v>27</v>
      </c>
      <c r="G204" s="138"/>
      <c r="H204" s="138" t="s">
        <v>114</v>
      </c>
      <c r="I204" s="138" t="s">
        <v>108</v>
      </c>
      <c r="J204" s="138"/>
      <c r="K204" s="138"/>
      <c r="L204" s="138"/>
      <c r="M204" s="138"/>
      <c r="N204" s="138"/>
      <c r="O204" s="140"/>
      <c r="P204" s="140"/>
      <c r="Q204" s="140"/>
      <c r="R204" s="140"/>
      <c r="S204" s="140"/>
      <c r="T204" s="141" t="n">
        <v>0.05</v>
      </c>
      <c r="U204" s="33" t="n">
        <f aca="false">P204*T204</f>
        <v>0</v>
      </c>
      <c r="V204" s="33" t="n">
        <f aca="false">SUM(U204,(U204*0.05))</f>
        <v>0</v>
      </c>
      <c r="W204" s="34" t="n">
        <f aca="false">P204+Q204+R204+S204</f>
        <v>0</v>
      </c>
      <c r="X204" s="34" t="n">
        <f aca="false">SUM(P204:S204)-V204</f>
        <v>0</v>
      </c>
      <c r="Y204" s="138"/>
    </row>
    <row r="205" customFormat="false" ht="22.5" hidden="false" customHeight="true" outlineLevel="0" collapsed="false">
      <c r="A205" s="137"/>
      <c r="B205" s="138" t="s">
        <v>103</v>
      </c>
      <c r="C205" s="149" t="s">
        <v>698</v>
      </c>
      <c r="D205" s="149" t="s">
        <v>699</v>
      </c>
      <c r="E205" s="139"/>
      <c r="F205" s="138" t="s">
        <v>27</v>
      </c>
      <c r="G205" s="138"/>
      <c r="H205" s="138" t="s">
        <v>114</v>
      </c>
      <c r="I205" s="138" t="s">
        <v>108</v>
      </c>
      <c r="J205" s="138"/>
      <c r="K205" s="138"/>
      <c r="L205" s="138"/>
      <c r="M205" s="138"/>
      <c r="N205" s="138"/>
      <c r="O205" s="140"/>
      <c r="P205" s="140"/>
      <c r="Q205" s="140"/>
      <c r="R205" s="140"/>
      <c r="S205" s="140"/>
      <c r="T205" s="141" t="n">
        <v>0.075</v>
      </c>
      <c r="U205" s="33" t="n">
        <f aca="false">P205*T205</f>
        <v>0</v>
      </c>
      <c r="V205" s="33" t="n">
        <f aca="false">SUM(U205,(U205*0.05))</f>
        <v>0</v>
      </c>
      <c r="W205" s="34" t="n">
        <f aca="false">P205+Q205+R205+S205</f>
        <v>0</v>
      </c>
      <c r="X205" s="34" t="n">
        <f aca="false">SUM(P205:S205)-V205</f>
        <v>0</v>
      </c>
      <c r="Y205" s="138"/>
    </row>
    <row r="206" customFormat="false" ht="22.5" hidden="false" customHeight="true" outlineLevel="0" collapsed="false">
      <c r="A206" s="137"/>
      <c r="B206" s="138" t="s">
        <v>103</v>
      </c>
      <c r="C206" s="149" t="s">
        <v>700</v>
      </c>
      <c r="D206" s="149" t="s">
        <v>699</v>
      </c>
      <c r="E206" s="139"/>
      <c r="F206" s="138" t="s">
        <v>27</v>
      </c>
      <c r="G206" s="138"/>
      <c r="H206" s="138" t="s">
        <v>114</v>
      </c>
      <c r="I206" s="138" t="s">
        <v>108</v>
      </c>
      <c r="J206" s="138"/>
      <c r="K206" s="138"/>
      <c r="L206" s="138"/>
      <c r="M206" s="138"/>
      <c r="N206" s="138"/>
      <c r="O206" s="140"/>
      <c r="P206" s="140"/>
      <c r="Q206" s="140"/>
      <c r="R206" s="140"/>
      <c r="S206" s="140"/>
      <c r="T206" s="141" t="n">
        <v>0.075</v>
      </c>
      <c r="U206" s="33" t="n">
        <f aca="false">P206*T206</f>
        <v>0</v>
      </c>
      <c r="V206" s="33" t="n">
        <f aca="false">SUM(U206,(U206*0.05))</f>
        <v>0</v>
      </c>
      <c r="W206" s="34" t="n">
        <f aca="false">P206+Q206+R206+S206</f>
        <v>0</v>
      </c>
      <c r="X206" s="34" t="n">
        <f aca="false">SUM(P206:S206)-V206</f>
        <v>0</v>
      </c>
      <c r="Y206" s="138"/>
    </row>
    <row r="207" customFormat="false" ht="22.5" hidden="false" customHeight="true" outlineLevel="0" collapsed="false">
      <c r="A207" s="137"/>
      <c r="B207" s="138" t="s">
        <v>103</v>
      </c>
      <c r="C207" s="149" t="s">
        <v>701</v>
      </c>
      <c r="D207" s="149" t="s">
        <v>699</v>
      </c>
      <c r="E207" s="139"/>
      <c r="F207" s="138" t="s">
        <v>27</v>
      </c>
      <c r="G207" s="138"/>
      <c r="H207" s="138" t="s">
        <v>114</v>
      </c>
      <c r="I207" s="138" t="s">
        <v>108</v>
      </c>
      <c r="J207" s="138"/>
      <c r="K207" s="138"/>
      <c r="L207" s="138"/>
      <c r="M207" s="138"/>
      <c r="N207" s="138"/>
      <c r="O207" s="140"/>
      <c r="P207" s="140"/>
      <c r="Q207" s="140"/>
      <c r="R207" s="140"/>
      <c r="S207" s="140"/>
      <c r="T207" s="141" t="n">
        <v>0.075</v>
      </c>
      <c r="U207" s="33" t="n">
        <f aca="false">P207*T207</f>
        <v>0</v>
      </c>
      <c r="V207" s="33" t="n">
        <f aca="false">SUM(U207,(U207*0.05))</f>
        <v>0</v>
      </c>
      <c r="W207" s="34" t="n">
        <f aca="false">P207+Q207+R207+S207</f>
        <v>0</v>
      </c>
      <c r="X207" s="34" t="n">
        <f aca="false">SUM(P207:S207)-V207</f>
        <v>0</v>
      </c>
      <c r="Y207" s="138"/>
    </row>
    <row r="208" customFormat="false" ht="22.5" hidden="false" customHeight="true" outlineLevel="0" collapsed="false">
      <c r="A208" s="137"/>
      <c r="B208" s="138" t="s">
        <v>103</v>
      </c>
      <c r="C208" s="149" t="s">
        <v>700</v>
      </c>
      <c r="D208" s="149" t="s">
        <v>702</v>
      </c>
      <c r="E208" s="139"/>
      <c r="F208" s="138" t="s">
        <v>27</v>
      </c>
      <c r="G208" s="138"/>
      <c r="H208" s="138" t="s">
        <v>114</v>
      </c>
      <c r="I208" s="138" t="s">
        <v>108</v>
      </c>
      <c r="J208" s="138"/>
      <c r="K208" s="138"/>
      <c r="L208" s="138"/>
      <c r="M208" s="138"/>
      <c r="N208" s="138"/>
      <c r="O208" s="140"/>
      <c r="P208" s="140"/>
      <c r="Q208" s="140"/>
      <c r="R208" s="140"/>
      <c r="S208" s="140"/>
      <c r="T208" s="141" t="n">
        <v>0.075</v>
      </c>
      <c r="U208" s="33" t="n">
        <f aca="false">P208*T208</f>
        <v>0</v>
      </c>
      <c r="V208" s="33" t="n">
        <f aca="false">SUM(U208,(U208*0.05))</f>
        <v>0</v>
      </c>
      <c r="W208" s="34" t="n">
        <f aca="false">P208+Q208+R208+S208</f>
        <v>0</v>
      </c>
      <c r="X208" s="34" t="n">
        <f aca="false">SUM(P208:S208)-V208</f>
        <v>0</v>
      </c>
      <c r="Y208" s="138"/>
    </row>
    <row r="209" customFormat="false" ht="22.5" hidden="false" customHeight="true" outlineLevel="0" collapsed="false">
      <c r="A209" s="137"/>
      <c r="B209" s="138" t="s">
        <v>103</v>
      </c>
      <c r="C209" s="149" t="s">
        <v>27</v>
      </c>
      <c r="D209" s="149" t="s">
        <v>703</v>
      </c>
      <c r="E209" s="139"/>
      <c r="F209" s="138" t="s">
        <v>27</v>
      </c>
      <c r="G209" s="138"/>
      <c r="H209" s="138" t="s">
        <v>114</v>
      </c>
      <c r="I209" s="138" t="s">
        <v>108</v>
      </c>
      <c r="J209" s="138"/>
      <c r="K209" s="138"/>
      <c r="L209" s="138"/>
      <c r="M209" s="138"/>
      <c r="N209" s="138"/>
      <c r="O209" s="140"/>
      <c r="P209" s="140"/>
      <c r="Q209" s="140"/>
      <c r="R209" s="140"/>
      <c r="S209" s="140"/>
      <c r="T209" s="141" t="n">
        <v>0.1</v>
      </c>
      <c r="U209" s="33" t="n">
        <f aca="false">P209*T209</f>
        <v>0</v>
      </c>
      <c r="V209" s="33" t="n">
        <f aca="false">SUM(U209,(U209*0.05))</f>
        <v>0</v>
      </c>
      <c r="W209" s="34" t="n">
        <f aca="false">P209+Q209+R209+S209</f>
        <v>0</v>
      </c>
      <c r="X209" s="34" t="n">
        <f aca="false">SUM(P209:S209)-V209</f>
        <v>0</v>
      </c>
      <c r="Y209" s="138"/>
    </row>
    <row r="210" customFormat="false" ht="22.5" hidden="false" customHeight="true" outlineLevel="0" collapsed="false">
      <c r="A210" s="137" t="n">
        <v>45748</v>
      </c>
      <c r="B210" s="138" t="s">
        <v>103</v>
      </c>
      <c r="C210" s="149" t="s">
        <v>704</v>
      </c>
      <c r="D210" s="149" t="s">
        <v>705</v>
      </c>
      <c r="E210" s="139"/>
      <c r="F210" s="138" t="s">
        <v>33</v>
      </c>
      <c r="G210" s="138"/>
      <c r="H210" s="138" t="s">
        <v>107</v>
      </c>
      <c r="I210" s="138" t="s">
        <v>108</v>
      </c>
      <c r="J210" s="138"/>
      <c r="K210" s="138"/>
      <c r="L210" s="138"/>
      <c r="M210" s="138"/>
      <c r="N210" s="138"/>
      <c r="O210" s="140"/>
      <c r="P210" s="140"/>
      <c r="Q210" s="140"/>
      <c r="R210" s="140"/>
      <c r="S210" s="140"/>
      <c r="T210" s="141" t="n">
        <v>0.1</v>
      </c>
      <c r="U210" s="33" t="n">
        <f aca="false">P210*T210</f>
        <v>0</v>
      </c>
      <c r="V210" s="33" t="n">
        <f aca="false">SUM(U210,(U210*0.05))</f>
        <v>0</v>
      </c>
      <c r="W210" s="34" t="n">
        <f aca="false">P210+Q210+R210+S210</f>
        <v>0</v>
      </c>
      <c r="X210" s="34" t="n">
        <f aca="false">SUM(P210:S210)-V210</f>
        <v>0</v>
      </c>
      <c r="Y210" s="138" t="s">
        <v>706</v>
      </c>
    </row>
    <row r="211" customFormat="false" ht="22.5" hidden="false" customHeight="true" outlineLevel="0" collapsed="false">
      <c r="A211" s="137"/>
      <c r="B211" s="138" t="s">
        <v>103</v>
      </c>
      <c r="C211" s="149" t="s">
        <v>707</v>
      </c>
      <c r="D211" s="149" t="s">
        <v>708</v>
      </c>
      <c r="E211" s="139"/>
      <c r="F211" s="138" t="s">
        <v>29</v>
      </c>
      <c r="G211" s="138"/>
      <c r="H211" s="138" t="s">
        <v>114</v>
      </c>
      <c r="I211" s="138" t="s">
        <v>108</v>
      </c>
      <c r="J211" s="162" t="s">
        <v>709</v>
      </c>
      <c r="K211" s="138"/>
      <c r="L211" s="138"/>
      <c r="M211" s="138"/>
      <c r="N211" s="138"/>
      <c r="O211" s="140"/>
      <c r="P211" s="140" t="n">
        <v>1950</v>
      </c>
      <c r="Q211" s="140"/>
      <c r="R211" s="140"/>
      <c r="S211" s="140"/>
      <c r="T211" s="141" t="n">
        <v>0.1</v>
      </c>
      <c r="U211" s="33"/>
      <c r="V211" s="33"/>
      <c r="W211" s="34"/>
      <c r="X211" s="34"/>
      <c r="Y211" s="138" t="s">
        <v>710</v>
      </c>
    </row>
    <row r="212" customFormat="false" ht="22.5" hidden="false" customHeight="true" outlineLevel="0" collapsed="false">
      <c r="A212" s="137"/>
      <c r="B212" s="138" t="s">
        <v>103</v>
      </c>
      <c r="C212" s="149" t="s">
        <v>711</v>
      </c>
      <c r="D212" s="149" t="s">
        <v>712</v>
      </c>
      <c r="E212" s="139"/>
      <c r="F212" s="138" t="s">
        <v>29</v>
      </c>
      <c r="G212" s="138"/>
      <c r="H212" s="138" t="s">
        <v>114</v>
      </c>
      <c r="I212" s="138" t="s">
        <v>108</v>
      </c>
      <c r="J212" s="138" t="s">
        <v>713</v>
      </c>
      <c r="K212" s="138"/>
      <c r="L212" s="138"/>
      <c r="M212" s="138"/>
      <c r="N212" s="138"/>
      <c r="O212" s="140"/>
      <c r="P212" s="140"/>
      <c r="Q212" s="140"/>
      <c r="R212" s="140"/>
      <c r="S212" s="140"/>
      <c r="T212" s="141" t="n">
        <v>0.1</v>
      </c>
      <c r="U212" s="33"/>
      <c r="V212" s="33"/>
      <c r="W212" s="34"/>
      <c r="X212" s="34"/>
      <c r="Y212" s="138" t="s">
        <v>714</v>
      </c>
    </row>
    <row r="213" customFormat="false" ht="22.5" hidden="false" customHeight="true" outlineLevel="0" collapsed="false">
      <c r="A213" s="163"/>
      <c r="B213" s="138" t="s">
        <v>103</v>
      </c>
      <c r="C213" s="149" t="s">
        <v>715</v>
      </c>
      <c r="D213" s="149" t="s">
        <v>716</v>
      </c>
      <c r="E213" s="139"/>
      <c r="F213" s="138" t="s">
        <v>29</v>
      </c>
      <c r="G213" s="138"/>
      <c r="H213" s="138" t="s">
        <v>114</v>
      </c>
      <c r="I213" s="138" t="s">
        <v>341</v>
      </c>
      <c r="J213" s="138"/>
      <c r="K213" s="164"/>
      <c r="L213" s="164"/>
      <c r="M213" s="138"/>
      <c r="N213" s="138"/>
      <c r="O213" s="140"/>
      <c r="P213" s="140"/>
      <c r="Q213" s="140"/>
      <c r="R213" s="140"/>
      <c r="S213" s="140"/>
      <c r="T213" s="141" t="n">
        <v>0.1</v>
      </c>
      <c r="U213" s="33"/>
      <c r="V213" s="33"/>
      <c r="W213" s="34"/>
      <c r="X213" s="34"/>
      <c r="Y213" s="138" t="s">
        <v>717</v>
      </c>
    </row>
    <row r="214" customFormat="false" ht="22.5" hidden="false" customHeight="true" outlineLevel="0" collapsed="false">
      <c r="A214" s="137"/>
      <c r="B214" s="138" t="s">
        <v>103</v>
      </c>
      <c r="C214" s="149" t="s">
        <v>718</v>
      </c>
      <c r="D214" s="149" t="s">
        <v>719</v>
      </c>
      <c r="E214" s="139"/>
      <c r="F214" s="138" t="s">
        <v>29</v>
      </c>
      <c r="G214" s="138"/>
      <c r="H214" s="138" t="s">
        <v>114</v>
      </c>
      <c r="I214" s="138" t="s">
        <v>108</v>
      </c>
      <c r="J214" s="138" t="s">
        <v>720</v>
      </c>
      <c r="K214" s="138"/>
      <c r="L214" s="138"/>
      <c r="M214" s="138"/>
      <c r="N214" s="138"/>
      <c r="O214" s="140"/>
      <c r="P214" s="140"/>
      <c r="Q214" s="140"/>
      <c r="R214" s="140"/>
      <c r="S214" s="140"/>
      <c r="T214" s="141" t="n">
        <v>0.1</v>
      </c>
      <c r="U214" s="33"/>
      <c r="V214" s="33"/>
      <c r="W214" s="34"/>
      <c r="X214" s="34"/>
      <c r="Y214" s="138" t="s">
        <v>721</v>
      </c>
    </row>
    <row r="215" customFormat="false" ht="22.5" hidden="false" customHeight="true" outlineLevel="0" collapsed="false">
      <c r="A215" s="137"/>
      <c r="B215" s="138" t="s">
        <v>103</v>
      </c>
      <c r="C215" s="149" t="s">
        <v>722</v>
      </c>
      <c r="D215" s="165" t="s">
        <v>723</v>
      </c>
      <c r="E215" s="139"/>
      <c r="F215" s="138" t="s">
        <v>29</v>
      </c>
      <c r="G215" s="138"/>
      <c r="H215" s="138" t="s">
        <v>107</v>
      </c>
      <c r="I215" s="138" t="s">
        <v>108</v>
      </c>
      <c r="J215" s="138"/>
      <c r="K215" s="138"/>
      <c r="L215" s="138"/>
      <c r="M215" s="138"/>
      <c r="N215" s="138"/>
      <c r="O215" s="140"/>
      <c r="P215" s="140"/>
      <c r="Q215" s="140"/>
      <c r="R215" s="140"/>
      <c r="S215" s="140"/>
      <c r="T215" s="141" t="n">
        <v>0.1</v>
      </c>
      <c r="U215" s="33"/>
      <c r="V215" s="33"/>
      <c r="W215" s="34"/>
      <c r="X215" s="34"/>
      <c r="Y215" s="138" t="s">
        <v>721</v>
      </c>
    </row>
    <row r="216" customFormat="false" ht="22.5" hidden="false" customHeight="true" outlineLevel="0" collapsed="false">
      <c r="A216" s="137" t="n">
        <v>46244</v>
      </c>
      <c r="B216" s="138" t="s">
        <v>103</v>
      </c>
      <c r="C216" s="149" t="s">
        <v>724</v>
      </c>
      <c r="D216" s="149" t="s">
        <v>725</v>
      </c>
      <c r="E216" s="166"/>
      <c r="F216" s="138" t="s">
        <v>29</v>
      </c>
      <c r="G216" s="138"/>
      <c r="H216" s="138" t="s">
        <v>114</v>
      </c>
      <c r="I216" s="138" t="s">
        <v>108</v>
      </c>
      <c r="J216" s="138" t="s">
        <v>726</v>
      </c>
      <c r="K216" s="138"/>
      <c r="L216" s="138"/>
      <c r="M216" s="167" t="n">
        <v>46174</v>
      </c>
      <c r="N216" s="167" t="n">
        <v>46538</v>
      </c>
      <c r="O216" s="44" t="n">
        <v>650</v>
      </c>
      <c r="P216" s="140" t="n">
        <v>3000</v>
      </c>
      <c r="Q216" s="140"/>
      <c r="R216" s="140"/>
      <c r="S216" s="140"/>
      <c r="T216" s="141" t="n">
        <v>0.1</v>
      </c>
      <c r="U216" s="141"/>
      <c r="V216" s="33"/>
      <c r="W216" s="33"/>
      <c r="X216" s="34"/>
      <c r="Y216" s="138" t="s">
        <v>727</v>
      </c>
      <c r="Z216" s="168"/>
    </row>
    <row r="217" customFormat="false" ht="22.5" hidden="false" customHeight="true" outlineLevel="0" collapsed="false">
      <c r="A217" s="137" t="n">
        <v>46246</v>
      </c>
      <c r="B217" s="41" t="s">
        <v>103</v>
      </c>
      <c r="C217" s="23" t="s">
        <v>728</v>
      </c>
      <c r="D217" s="143" t="s">
        <v>729</v>
      </c>
      <c r="E217" s="169"/>
      <c r="F217" s="41" t="s">
        <v>29</v>
      </c>
      <c r="G217" s="155"/>
      <c r="H217" s="41" t="s">
        <v>114</v>
      </c>
      <c r="I217" s="41" t="s">
        <v>108</v>
      </c>
      <c r="J217" s="41" t="s">
        <v>730</v>
      </c>
      <c r="K217" s="41"/>
      <c r="L217" s="41"/>
      <c r="M217" s="170" t="n">
        <v>46173</v>
      </c>
      <c r="N217" s="170" t="n">
        <v>46507</v>
      </c>
      <c r="O217" s="44" t="n">
        <v>650</v>
      </c>
      <c r="P217" s="44" t="n">
        <v>2300</v>
      </c>
      <c r="Q217" s="44"/>
      <c r="R217" s="44"/>
      <c r="S217" s="44"/>
      <c r="T217" s="141" t="n">
        <v>0.1</v>
      </c>
      <c r="U217" s="156"/>
      <c r="V217" s="153"/>
      <c r="W217" s="153"/>
      <c r="X217" s="153"/>
      <c r="Y217" s="138" t="s">
        <v>727</v>
      </c>
      <c r="Z217" s="171"/>
      <c r="AA217" s="70"/>
    </row>
    <row r="218" customFormat="false" ht="22.5" hidden="false" customHeight="true" outlineLevel="0" collapsed="false">
      <c r="A218" s="137" t="n">
        <v>46244</v>
      </c>
      <c r="B218" s="41" t="s">
        <v>103</v>
      </c>
      <c r="C218" s="172" t="s">
        <v>731</v>
      </c>
      <c r="D218" s="149" t="s">
        <v>732</v>
      </c>
      <c r="E218" s="169"/>
      <c r="F218" s="41" t="s">
        <v>29</v>
      </c>
      <c r="G218" s="155"/>
      <c r="H218" s="41" t="s">
        <v>114</v>
      </c>
      <c r="I218" s="41" t="s">
        <v>108</v>
      </c>
      <c r="J218" s="41" t="s">
        <v>733</v>
      </c>
      <c r="K218" s="41"/>
      <c r="L218" s="41"/>
      <c r="M218" s="170" t="n">
        <v>45901</v>
      </c>
      <c r="N218" s="170" t="n">
        <v>46265</v>
      </c>
      <c r="O218" s="44" t="n">
        <v>650</v>
      </c>
      <c r="P218" s="44" t="n">
        <v>2400</v>
      </c>
      <c r="Q218" s="44"/>
      <c r="R218" s="44"/>
      <c r="S218" s="44"/>
      <c r="T218" s="141" t="n">
        <v>0.1</v>
      </c>
      <c r="U218" s="156"/>
      <c r="V218" s="153"/>
      <c r="W218" s="153"/>
      <c r="X218" s="153"/>
      <c r="Y218" s="138"/>
      <c r="Z218" s="171"/>
      <c r="AA218" s="70"/>
    </row>
    <row r="219" customFormat="false" ht="22.5" hidden="false" customHeight="true" outlineLevel="0" collapsed="false">
      <c r="A219" s="137" t="n">
        <v>46243</v>
      </c>
      <c r="B219" s="41" t="s">
        <v>103</v>
      </c>
      <c r="C219" s="173" t="s">
        <v>734</v>
      </c>
      <c r="D219" s="149" t="s">
        <v>735</v>
      </c>
      <c r="E219" s="169"/>
      <c r="F219" s="41" t="s">
        <v>29</v>
      </c>
      <c r="G219" s="155"/>
      <c r="H219" s="41" t="s">
        <v>114</v>
      </c>
      <c r="I219" s="41" t="s">
        <v>108</v>
      </c>
      <c r="J219" s="41" t="s">
        <v>736</v>
      </c>
      <c r="K219" s="41"/>
      <c r="L219" s="41"/>
      <c r="M219" s="41"/>
      <c r="N219" s="41"/>
      <c r="O219" s="44" t="n">
        <v>650</v>
      </c>
      <c r="P219" s="44" t="n">
        <v>2350</v>
      </c>
      <c r="Q219" s="44"/>
      <c r="R219" s="44"/>
      <c r="S219" s="44"/>
      <c r="T219" s="141" t="n">
        <v>0.1</v>
      </c>
      <c r="U219" s="156"/>
      <c r="V219" s="153"/>
      <c r="W219" s="153"/>
      <c r="X219" s="153"/>
      <c r="Y219" s="138" t="s">
        <v>737</v>
      </c>
      <c r="Z219" s="171"/>
      <c r="AA219" s="70"/>
    </row>
    <row r="220" customFormat="false" ht="22.5" hidden="false" customHeight="true" outlineLevel="0" collapsed="false">
      <c r="A220" s="137" t="n">
        <v>46238</v>
      </c>
      <c r="B220" s="41" t="s">
        <v>103</v>
      </c>
      <c r="C220" s="96" t="s">
        <v>738</v>
      </c>
      <c r="D220" s="174" t="s">
        <v>739</v>
      </c>
      <c r="E220" s="169"/>
      <c r="F220" s="41" t="s">
        <v>25</v>
      </c>
      <c r="G220" s="155"/>
      <c r="H220" s="41" t="s">
        <v>107</v>
      </c>
      <c r="I220" s="41" t="s">
        <v>108</v>
      </c>
      <c r="J220" s="41"/>
      <c r="K220" s="41"/>
      <c r="L220" s="41"/>
      <c r="M220" s="41"/>
      <c r="N220" s="41"/>
      <c r="O220" s="44" t="n">
        <v>550</v>
      </c>
      <c r="P220" s="41" t="s">
        <v>740</v>
      </c>
      <c r="Q220" s="44"/>
      <c r="R220" s="44"/>
      <c r="S220" s="44"/>
      <c r="T220" s="104" t="n">
        <v>0.07</v>
      </c>
      <c r="U220" s="156"/>
      <c r="V220" s="153"/>
      <c r="W220" s="153"/>
      <c r="X220" s="153"/>
      <c r="Y220" s="138" t="s">
        <v>741</v>
      </c>
      <c r="Z220" s="171"/>
      <c r="AA220" s="70"/>
    </row>
    <row r="221" customFormat="false" ht="22.5" hidden="false" customHeight="true" outlineLevel="0" collapsed="false">
      <c r="A221" s="137" t="n">
        <v>46238</v>
      </c>
      <c r="B221" s="41" t="s">
        <v>103</v>
      </c>
      <c r="C221" s="96" t="s">
        <v>738</v>
      </c>
      <c r="D221" s="174" t="s">
        <v>742</v>
      </c>
      <c r="E221" s="169"/>
      <c r="F221" s="41" t="s">
        <v>25</v>
      </c>
      <c r="G221" s="155"/>
      <c r="H221" s="41" t="s">
        <v>107</v>
      </c>
      <c r="I221" s="41" t="s">
        <v>108</v>
      </c>
      <c r="J221" s="41"/>
      <c r="K221" s="41"/>
      <c r="L221" s="41"/>
      <c r="M221" s="41"/>
      <c r="N221" s="41"/>
      <c r="O221" s="44" t="n">
        <v>550</v>
      </c>
      <c r="P221" s="41" t="s">
        <v>740</v>
      </c>
      <c r="Q221" s="44"/>
      <c r="R221" s="44"/>
      <c r="S221" s="44"/>
      <c r="T221" s="104" t="n">
        <v>0.07</v>
      </c>
      <c r="U221" s="156"/>
      <c r="V221" s="153"/>
      <c r="W221" s="153"/>
      <c r="X221" s="153"/>
      <c r="Y221" s="138" t="s">
        <v>741</v>
      </c>
      <c r="Z221" s="171"/>
      <c r="AA221" s="70"/>
    </row>
    <row r="222" customFormat="false" ht="22.5" hidden="false" customHeight="true" outlineLevel="0" collapsed="false">
      <c r="A222" s="101" t="n">
        <v>46193</v>
      </c>
      <c r="B222" s="27" t="s">
        <v>103</v>
      </c>
      <c r="C222" s="94" t="s">
        <v>743</v>
      </c>
      <c r="D222" s="143" t="s">
        <v>744</v>
      </c>
      <c r="E222" s="175" t="s">
        <v>745</v>
      </c>
      <c r="F222" s="176" t="s">
        <v>25</v>
      </c>
      <c r="G222" s="97"/>
      <c r="H222" s="177" t="s">
        <v>107</v>
      </c>
      <c r="I222" s="27" t="s">
        <v>108</v>
      </c>
      <c r="J222" s="27"/>
      <c r="K222" s="27"/>
      <c r="L222" s="27"/>
      <c r="M222" s="27"/>
      <c r="N222" s="27"/>
      <c r="O222" s="44" t="n">
        <v>799</v>
      </c>
      <c r="P222" s="27" t="s">
        <v>740</v>
      </c>
      <c r="Q222" s="31"/>
      <c r="R222" s="31"/>
      <c r="S222" s="31"/>
      <c r="T222" s="178" t="n">
        <v>0.05</v>
      </c>
      <c r="U222" s="179"/>
      <c r="V222" s="122"/>
      <c r="W222" s="122"/>
      <c r="X222" s="122"/>
      <c r="Y222" s="138" t="s">
        <v>746</v>
      </c>
      <c r="Z222" s="180"/>
      <c r="AA222" s="70"/>
    </row>
    <row r="223" customFormat="false" ht="22.5" hidden="false" customHeight="true" outlineLevel="0" collapsed="false">
      <c r="A223" s="101" t="n">
        <v>46232</v>
      </c>
      <c r="B223" s="41" t="s">
        <v>103</v>
      </c>
      <c r="C223" s="181" t="s">
        <v>747</v>
      </c>
      <c r="D223" s="174" t="s">
        <v>748</v>
      </c>
      <c r="E223" s="182" t="s">
        <v>749</v>
      </c>
      <c r="F223" s="41" t="s">
        <v>26</v>
      </c>
      <c r="G223" s="41"/>
      <c r="H223" s="41" t="s">
        <v>107</v>
      </c>
      <c r="I223" s="41" t="s">
        <v>108</v>
      </c>
      <c r="J223" s="41"/>
      <c r="K223" s="41"/>
      <c r="L223" s="41"/>
      <c r="M223" s="41"/>
      <c r="N223" s="41"/>
      <c r="O223" s="44" t="n">
        <v>799</v>
      </c>
      <c r="P223" s="44" t="n">
        <v>2199</v>
      </c>
      <c r="Q223" s="44"/>
      <c r="R223" s="44"/>
      <c r="S223" s="44"/>
      <c r="T223" s="104" t="n">
        <v>0.07</v>
      </c>
      <c r="U223" s="104"/>
      <c r="V223" s="153"/>
      <c r="W223" s="153"/>
      <c r="X223" s="153"/>
      <c r="Y223" s="41" t="s">
        <v>750</v>
      </c>
      <c r="Z223" s="180"/>
      <c r="AA223" s="70"/>
    </row>
    <row r="224" customFormat="false" ht="22.5" hidden="false" customHeight="true" outlineLevel="0" collapsed="false">
      <c r="A224" s="101" t="n">
        <v>46210</v>
      </c>
      <c r="B224" s="41" t="s">
        <v>103</v>
      </c>
      <c r="C224" s="23" t="s">
        <v>751</v>
      </c>
      <c r="D224" s="143" t="s">
        <v>752</v>
      </c>
      <c r="E224" s="182" t="s">
        <v>753</v>
      </c>
      <c r="F224" s="41" t="s">
        <v>25</v>
      </c>
      <c r="G224" s="41"/>
      <c r="H224" s="41" t="s">
        <v>107</v>
      </c>
      <c r="I224" s="41" t="s">
        <v>108</v>
      </c>
      <c r="J224" s="41"/>
      <c r="K224" s="41"/>
      <c r="L224" s="41"/>
      <c r="M224" s="41"/>
      <c r="N224" s="41"/>
      <c r="O224" s="44" t="n">
        <v>599</v>
      </c>
      <c r="P224" s="41" t="s">
        <v>740</v>
      </c>
      <c r="Q224" s="44"/>
      <c r="R224" s="44"/>
      <c r="S224" s="44"/>
      <c r="T224" s="104" t="n">
        <v>0.04</v>
      </c>
      <c r="U224" s="104"/>
      <c r="V224" s="153"/>
      <c r="W224" s="153"/>
      <c r="X224" s="153"/>
      <c r="Y224" s="41" t="s">
        <v>750</v>
      </c>
      <c r="Z224" s="180"/>
      <c r="AA224" s="70"/>
    </row>
    <row r="225" customFormat="false" ht="22.5" hidden="false" customHeight="true" outlineLevel="0" collapsed="false">
      <c r="A225" s="101" t="n">
        <v>46193</v>
      </c>
      <c r="B225" s="41" t="s">
        <v>103</v>
      </c>
      <c r="C225" s="37" t="s">
        <v>743</v>
      </c>
      <c r="D225" s="174" t="s">
        <v>754</v>
      </c>
      <c r="E225" s="182" t="s">
        <v>755</v>
      </c>
      <c r="F225" s="41" t="s">
        <v>25</v>
      </c>
      <c r="G225" s="41"/>
      <c r="H225" s="41" t="s">
        <v>107</v>
      </c>
      <c r="I225" s="41" t="s">
        <v>108</v>
      </c>
      <c r="J225" s="41"/>
      <c r="K225" s="41"/>
      <c r="L225" s="41"/>
      <c r="M225" s="41"/>
      <c r="N225" s="41"/>
      <c r="O225" s="44" t="n">
        <v>799</v>
      </c>
      <c r="P225" s="41" t="s">
        <v>740</v>
      </c>
      <c r="Q225" s="44"/>
      <c r="R225" s="44"/>
      <c r="S225" s="44"/>
      <c r="T225" s="104" t="n">
        <v>0.05</v>
      </c>
      <c r="U225" s="104"/>
      <c r="V225" s="153"/>
      <c r="W225" s="153"/>
      <c r="X225" s="153"/>
      <c r="Y225" s="41" t="s">
        <v>750</v>
      </c>
      <c r="Z225" s="180"/>
      <c r="AA225" s="70"/>
    </row>
    <row r="226" customFormat="false" ht="22.5" hidden="false" customHeight="true" outlineLevel="0" collapsed="false">
      <c r="A226" s="101" t="n">
        <v>46196</v>
      </c>
      <c r="B226" s="41" t="s">
        <v>103</v>
      </c>
      <c r="C226" s="96" t="s">
        <v>756</v>
      </c>
      <c r="D226" s="174" t="s">
        <v>757</v>
      </c>
      <c r="E226" s="182" t="s">
        <v>758</v>
      </c>
      <c r="F226" s="41" t="s">
        <v>27</v>
      </c>
      <c r="G226" s="41"/>
      <c r="H226" s="41" t="s">
        <v>114</v>
      </c>
      <c r="I226" s="41" t="s">
        <v>108</v>
      </c>
      <c r="J226" s="41" t="s">
        <v>759</v>
      </c>
      <c r="K226" s="41"/>
      <c r="L226" s="41"/>
      <c r="M226" s="41"/>
      <c r="N226" s="41"/>
      <c r="O226" s="44" t="n">
        <v>150</v>
      </c>
      <c r="P226" s="44" t="n">
        <v>1100</v>
      </c>
      <c r="Q226" s="44"/>
      <c r="R226" s="44"/>
      <c r="S226" s="44"/>
      <c r="T226" s="104" t="n">
        <v>0.055</v>
      </c>
      <c r="U226" s="104"/>
      <c r="V226" s="153"/>
      <c r="W226" s="153"/>
      <c r="X226" s="153"/>
      <c r="Y226" s="41" t="s">
        <v>760</v>
      </c>
      <c r="Z226" s="180"/>
      <c r="AA226" s="70"/>
    </row>
    <row r="227" customFormat="false" ht="22.5" hidden="false" customHeight="true" outlineLevel="0" collapsed="false">
      <c r="A227" s="101" t="n">
        <v>46196</v>
      </c>
      <c r="B227" s="41" t="s">
        <v>103</v>
      </c>
      <c r="C227" s="96" t="s">
        <v>756</v>
      </c>
      <c r="D227" s="174" t="s">
        <v>757</v>
      </c>
      <c r="E227" s="182" t="s">
        <v>761</v>
      </c>
      <c r="F227" s="41" t="s">
        <v>27</v>
      </c>
      <c r="G227" s="41"/>
      <c r="H227" s="41" t="s">
        <v>114</v>
      </c>
      <c r="I227" s="41" t="s">
        <v>108</v>
      </c>
      <c r="J227" s="41" t="s">
        <v>762</v>
      </c>
      <c r="K227" s="41"/>
      <c r="L227" s="41"/>
      <c r="M227" s="41"/>
      <c r="N227" s="41"/>
      <c r="O227" s="44" t="n">
        <v>150</v>
      </c>
      <c r="P227" s="44" t="n">
        <v>1100</v>
      </c>
      <c r="Q227" s="44"/>
      <c r="R227" s="44"/>
      <c r="S227" s="44"/>
      <c r="T227" s="104" t="n">
        <v>0.055</v>
      </c>
      <c r="U227" s="104"/>
      <c r="V227" s="153"/>
      <c r="W227" s="153"/>
      <c r="X227" s="153"/>
      <c r="Y227" s="41"/>
      <c r="Z227" s="180"/>
      <c r="AA227" s="70"/>
    </row>
    <row r="228" customFormat="false" ht="22.5" hidden="false" customHeight="true" outlineLevel="0" collapsed="false">
      <c r="A228" s="101" t="n">
        <v>46246</v>
      </c>
      <c r="B228" s="41" t="s">
        <v>103</v>
      </c>
      <c r="C228" s="183" t="s">
        <v>763</v>
      </c>
      <c r="D228" s="174" t="s">
        <v>764</v>
      </c>
      <c r="E228" s="182"/>
      <c r="F228" s="41" t="s">
        <v>26</v>
      </c>
      <c r="G228" s="41"/>
      <c r="H228" s="41" t="s">
        <v>114</v>
      </c>
      <c r="I228" s="41" t="s">
        <v>108</v>
      </c>
      <c r="J228" s="41"/>
      <c r="K228" s="41"/>
      <c r="L228" s="41"/>
      <c r="M228" s="41"/>
      <c r="N228" s="41"/>
      <c r="O228" s="44" t="n">
        <v>799</v>
      </c>
      <c r="P228" s="44" t="n">
        <v>1600</v>
      </c>
      <c r="Q228" s="44"/>
      <c r="R228" s="44"/>
      <c r="S228" s="44"/>
      <c r="T228" s="104" t="n">
        <v>0.08</v>
      </c>
      <c r="U228" s="104"/>
      <c r="V228" s="153"/>
      <c r="W228" s="153"/>
      <c r="X228" s="153"/>
      <c r="Y228" s="41" t="s">
        <v>765</v>
      </c>
      <c r="Z228" s="180"/>
      <c r="AA228" s="70"/>
    </row>
    <row r="229" customFormat="false" ht="22.5" hidden="false" customHeight="true" outlineLevel="0" collapsed="false">
      <c r="A229" s="184" t="n">
        <v>46182</v>
      </c>
      <c r="B229" s="36" t="s">
        <v>103</v>
      </c>
      <c r="C229" s="52" t="s">
        <v>540</v>
      </c>
      <c r="D229" s="185" t="s">
        <v>541</v>
      </c>
      <c r="E229" s="186" t="s">
        <v>109</v>
      </c>
      <c r="F229" s="92" t="s">
        <v>26</v>
      </c>
      <c r="G229" s="41"/>
      <c r="H229" s="36" t="s">
        <v>114</v>
      </c>
      <c r="I229" s="36" t="s">
        <v>108</v>
      </c>
      <c r="J229" s="41" t="s">
        <v>766</v>
      </c>
      <c r="K229" s="41" t="s">
        <v>767</v>
      </c>
      <c r="L229" s="41"/>
      <c r="M229" s="170" t="n">
        <v>46249</v>
      </c>
      <c r="N229" s="152" t="n">
        <v>46630</v>
      </c>
      <c r="O229" s="108" t="n">
        <v>799</v>
      </c>
      <c r="P229" s="44" t="n">
        <v>1000</v>
      </c>
      <c r="Q229" s="44"/>
      <c r="R229" s="44"/>
      <c r="S229" s="44"/>
      <c r="T229" s="104" t="n">
        <v>0.08</v>
      </c>
      <c r="U229" s="153"/>
      <c r="V229" s="153"/>
      <c r="W229" s="153"/>
      <c r="X229" s="153"/>
      <c r="Y229" s="41"/>
      <c r="Z229" s="70"/>
      <c r="AA229" s="70"/>
    </row>
    <row r="230" customFormat="false" ht="15.75" hidden="false" customHeight="false" outlineLevel="0" collapsed="false">
      <c r="A230" s="187" t="n">
        <v>46223</v>
      </c>
      <c r="B230" s="188" t="s">
        <v>103</v>
      </c>
      <c r="C230" s="189" t="s">
        <v>768</v>
      </c>
      <c r="D230" s="174" t="s">
        <v>769</v>
      </c>
      <c r="E230" s="182"/>
      <c r="F230" s="188" t="s">
        <v>26</v>
      </c>
      <c r="G230" s="188"/>
      <c r="H230" s="188" t="s">
        <v>107</v>
      </c>
      <c r="I230" s="188"/>
      <c r="J230" s="188"/>
      <c r="K230" s="188"/>
      <c r="L230" s="188"/>
      <c r="M230" s="188"/>
      <c r="N230" s="188"/>
      <c r="O230" s="190" t="n">
        <v>799</v>
      </c>
      <c r="P230" s="188" t="s">
        <v>770</v>
      </c>
      <c r="Q230" s="188"/>
      <c r="R230" s="188"/>
      <c r="S230" s="188"/>
      <c r="T230" s="191" t="n">
        <v>0.07</v>
      </c>
      <c r="U230" s="191"/>
      <c r="V230" s="192"/>
      <c r="W230" s="192"/>
      <c r="X230" s="192"/>
      <c r="Y230" s="188" t="s">
        <v>689</v>
      </c>
      <c r="Z230" s="180"/>
      <c r="AA230" s="70"/>
    </row>
    <row r="231" customFormat="false" ht="15.75" hidden="false" customHeight="false" outlineLevel="0" collapsed="false">
      <c r="A231" s="188"/>
      <c r="B231" s="188"/>
      <c r="C231" s="189"/>
      <c r="D231" s="174"/>
      <c r="E231" s="182"/>
      <c r="F231" s="188"/>
      <c r="G231" s="188"/>
      <c r="H231" s="188"/>
      <c r="I231" s="188"/>
      <c r="J231" s="188"/>
      <c r="K231" s="188"/>
      <c r="L231" s="188"/>
      <c r="M231" s="188"/>
      <c r="N231" s="188"/>
      <c r="O231" s="188"/>
      <c r="P231" s="188"/>
      <c r="Q231" s="188"/>
      <c r="R231" s="188"/>
      <c r="S231" s="188"/>
      <c r="T231" s="191"/>
      <c r="U231" s="191"/>
      <c r="V231" s="192"/>
      <c r="W231" s="192"/>
      <c r="X231" s="192"/>
      <c r="Y231" s="188"/>
      <c r="Z231" s="180"/>
      <c r="AA231" s="70"/>
    </row>
    <row r="232" customFormat="false" ht="15.75" hidden="false" customHeight="false" outlineLevel="0" collapsed="false">
      <c r="A232" s="188"/>
      <c r="B232" s="188"/>
      <c r="C232" s="189"/>
      <c r="D232" s="174"/>
      <c r="E232" s="182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  <c r="T232" s="191"/>
      <c r="U232" s="191"/>
      <c r="V232" s="192"/>
      <c r="W232" s="192"/>
      <c r="X232" s="192"/>
      <c r="Y232" s="188"/>
      <c r="Z232" s="180"/>
      <c r="AA232" s="70"/>
    </row>
    <row r="233" customFormat="false" ht="15.75" hidden="false" customHeight="false" outlineLevel="0" collapsed="false">
      <c r="A233" s="188"/>
      <c r="B233" s="188"/>
      <c r="C233" s="189"/>
      <c r="D233" s="174"/>
      <c r="E233" s="182"/>
      <c r="F233" s="188"/>
      <c r="G233" s="188"/>
      <c r="H233" s="188"/>
      <c r="I233" s="188"/>
      <c r="J233" s="188"/>
      <c r="K233" s="188"/>
      <c r="L233" s="188"/>
      <c r="M233" s="188"/>
      <c r="N233" s="188"/>
      <c r="O233" s="188"/>
      <c r="P233" s="188"/>
      <c r="Q233" s="188"/>
      <c r="R233" s="188"/>
      <c r="S233" s="188"/>
      <c r="T233" s="191"/>
      <c r="U233" s="191"/>
      <c r="V233" s="192"/>
      <c r="W233" s="192"/>
      <c r="X233" s="192"/>
      <c r="Y233" s="188"/>
      <c r="Z233" s="180"/>
      <c r="AA233" s="70"/>
    </row>
    <row r="234" customFormat="false" ht="15.75" hidden="false" customHeight="false" outlineLevel="0" collapsed="false">
      <c r="A234" s="188"/>
      <c r="B234" s="188"/>
      <c r="C234" s="189"/>
      <c r="D234" s="174"/>
      <c r="E234" s="182"/>
      <c r="F234" s="188"/>
      <c r="G234" s="188"/>
      <c r="H234" s="188"/>
      <c r="I234" s="188"/>
      <c r="J234" s="188"/>
      <c r="K234" s="188"/>
      <c r="L234" s="188"/>
      <c r="M234" s="188"/>
      <c r="N234" s="188"/>
      <c r="O234" s="188"/>
      <c r="P234" s="188"/>
      <c r="Q234" s="188"/>
      <c r="R234" s="188"/>
      <c r="S234" s="188"/>
      <c r="T234" s="191"/>
      <c r="U234" s="191"/>
      <c r="V234" s="192"/>
      <c r="W234" s="192"/>
      <c r="X234" s="192"/>
      <c r="Y234" s="188"/>
      <c r="Z234" s="180"/>
      <c r="AA234" s="70"/>
    </row>
    <row r="235" customFormat="false" ht="15.75" hidden="false" customHeight="false" outlineLevel="0" collapsed="false">
      <c r="A235" s="188"/>
      <c r="B235" s="188"/>
      <c r="C235" s="189"/>
      <c r="D235" s="174"/>
      <c r="E235" s="182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91"/>
      <c r="U235" s="191"/>
      <c r="V235" s="192"/>
      <c r="W235" s="192"/>
      <c r="X235" s="192"/>
      <c r="Y235" s="188"/>
      <c r="Z235" s="180"/>
      <c r="AA235" s="70"/>
    </row>
    <row r="236" customFormat="false" ht="15.75" hidden="false" customHeight="false" outlineLevel="0" collapsed="false">
      <c r="E236" s="193"/>
      <c r="J236" s="194"/>
      <c r="K236" s="194"/>
      <c r="L236" s="194"/>
      <c r="M236" s="195"/>
    </row>
    <row r="237" customFormat="false" ht="15.75" hidden="false" customHeight="false" outlineLevel="0" collapsed="false">
      <c r="E237" s="193"/>
      <c r="J237" s="194"/>
      <c r="K237" s="194"/>
      <c r="L237" s="194"/>
      <c r="M237" s="195"/>
    </row>
    <row r="238" customFormat="false" ht="15.75" hidden="false" customHeight="false" outlineLevel="0" collapsed="false">
      <c r="E238" s="193"/>
      <c r="J238" s="194"/>
      <c r="K238" s="194"/>
      <c r="L238" s="194"/>
      <c r="M238" s="195"/>
    </row>
    <row r="239" customFormat="false" ht="15.75" hidden="false" customHeight="false" outlineLevel="0" collapsed="false">
      <c r="E239" s="193"/>
      <c r="J239" s="194"/>
      <c r="K239" s="194"/>
      <c r="L239" s="194"/>
      <c r="M239" s="195"/>
    </row>
    <row r="240" customFormat="false" ht="15.75" hidden="false" customHeight="false" outlineLevel="0" collapsed="false">
      <c r="E240" s="193"/>
      <c r="J240" s="194"/>
      <c r="K240" s="194"/>
      <c r="L240" s="194"/>
      <c r="M240" s="195"/>
    </row>
    <row r="241" customFormat="false" ht="15.75" hidden="false" customHeight="false" outlineLevel="0" collapsed="false">
      <c r="E241" s="193"/>
      <c r="J241" s="194"/>
      <c r="K241" s="194"/>
      <c r="L241" s="194"/>
      <c r="M241" s="195"/>
    </row>
    <row r="242" customFormat="false" ht="15.75" hidden="false" customHeight="false" outlineLevel="0" collapsed="false">
      <c r="E242" s="193"/>
      <c r="J242" s="194"/>
      <c r="K242" s="194"/>
      <c r="L242" s="194"/>
      <c r="M242" s="195"/>
    </row>
    <row r="243" customFormat="false" ht="15.75" hidden="false" customHeight="false" outlineLevel="0" collapsed="false">
      <c r="E243" s="193"/>
      <c r="J243" s="194"/>
      <c r="K243" s="194"/>
      <c r="L243" s="194"/>
      <c r="M243" s="195"/>
    </row>
    <row r="244" customFormat="false" ht="15.75" hidden="false" customHeight="false" outlineLevel="0" collapsed="false">
      <c r="E244" s="193"/>
      <c r="J244" s="194"/>
      <c r="K244" s="194"/>
      <c r="L244" s="194"/>
      <c r="M244" s="195"/>
    </row>
    <row r="245" customFormat="false" ht="15.75" hidden="false" customHeight="false" outlineLevel="0" collapsed="false">
      <c r="E245" s="193"/>
      <c r="J245" s="194"/>
      <c r="K245" s="194"/>
      <c r="L245" s="194"/>
      <c r="M245" s="195"/>
    </row>
    <row r="246" customFormat="false" ht="15.75" hidden="false" customHeight="false" outlineLevel="0" collapsed="false">
      <c r="E246" s="193"/>
      <c r="J246" s="194"/>
      <c r="K246" s="194"/>
      <c r="L246" s="194"/>
      <c r="M246" s="195"/>
    </row>
    <row r="247" customFormat="false" ht="15.75" hidden="false" customHeight="false" outlineLevel="0" collapsed="false">
      <c r="E247" s="193"/>
      <c r="J247" s="194"/>
      <c r="K247" s="194"/>
      <c r="L247" s="194"/>
      <c r="M247" s="195"/>
    </row>
    <row r="248" customFormat="false" ht="15.75" hidden="false" customHeight="false" outlineLevel="0" collapsed="false">
      <c r="E248" s="193"/>
      <c r="J248" s="194"/>
      <c r="K248" s="194"/>
      <c r="L248" s="194"/>
      <c r="M248" s="195"/>
    </row>
    <row r="249" customFormat="false" ht="15.75" hidden="false" customHeight="false" outlineLevel="0" collapsed="false">
      <c r="E249" s="193"/>
      <c r="J249" s="194"/>
      <c r="K249" s="194"/>
      <c r="L249" s="194"/>
      <c r="M249" s="195"/>
    </row>
    <row r="250" customFormat="false" ht="15.75" hidden="false" customHeight="false" outlineLevel="0" collapsed="false">
      <c r="E250" s="193"/>
      <c r="J250" s="194"/>
      <c r="K250" s="194"/>
      <c r="L250" s="194"/>
      <c r="M250" s="195"/>
    </row>
    <row r="251" customFormat="false" ht="15.75" hidden="false" customHeight="false" outlineLevel="0" collapsed="false">
      <c r="E251" s="193"/>
      <c r="J251" s="194"/>
      <c r="K251" s="194"/>
      <c r="L251" s="194"/>
      <c r="M251" s="195"/>
    </row>
    <row r="252" customFormat="false" ht="15.75" hidden="false" customHeight="false" outlineLevel="0" collapsed="false">
      <c r="E252" s="193"/>
      <c r="J252" s="194"/>
      <c r="K252" s="194"/>
      <c r="L252" s="194"/>
      <c r="M252" s="195"/>
    </row>
    <row r="253" customFormat="false" ht="15.75" hidden="false" customHeight="false" outlineLevel="0" collapsed="false">
      <c r="E253" s="193"/>
      <c r="J253" s="194"/>
      <c r="K253" s="194"/>
      <c r="L253" s="194"/>
      <c r="M253" s="195"/>
    </row>
    <row r="254" customFormat="false" ht="15.75" hidden="false" customHeight="false" outlineLevel="0" collapsed="false">
      <c r="E254" s="193"/>
      <c r="J254" s="194"/>
      <c r="K254" s="194"/>
      <c r="L254" s="194"/>
      <c r="M254" s="195"/>
    </row>
    <row r="255" customFormat="false" ht="15.75" hidden="false" customHeight="false" outlineLevel="0" collapsed="false">
      <c r="E255" s="193"/>
      <c r="J255" s="194"/>
      <c r="K255" s="194"/>
      <c r="L255" s="194"/>
      <c r="M255" s="195"/>
    </row>
    <row r="256" customFormat="false" ht="15.75" hidden="false" customHeight="false" outlineLevel="0" collapsed="false">
      <c r="E256" s="193"/>
      <c r="J256" s="194"/>
      <c r="K256" s="194"/>
      <c r="L256" s="194"/>
      <c r="M256" s="195"/>
    </row>
    <row r="257" customFormat="false" ht="15.75" hidden="false" customHeight="false" outlineLevel="0" collapsed="false">
      <c r="E257" s="193"/>
      <c r="J257" s="194"/>
      <c r="K257" s="194"/>
      <c r="L257" s="194"/>
      <c r="M257" s="195"/>
    </row>
    <row r="258" customFormat="false" ht="15.75" hidden="false" customHeight="false" outlineLevel="0" collapsed="false">
      <c r="E258" s="193"/>
      <c r="J258" s="194"/>
      <c r="K258" s="194"/>
      <c r="L258" s="194"/>
      <c r="M258" s="195"/>
    </row>
    <row r="259" customFormat="false" ht="15.75" hidden="false" customHeight="false" outlineLevel="0" collapsed="false">
      <c r="E259" s="193"/>
      <c r="J259" s="194"/>
      <c r="K259" s="194"/>
      <c r="L259" s="194"/>
      <c r="M259" s="195"/>
    </row>
    <row r="260" customFormat="false" ht="15.75" hidden="false" customHeight="false" outlineLevel="0" collapsed="false">
      <c r="E260" s="193"/>
      <c r="J260" s="194"/>
      <c r="K260" s="194"/>
      <c r="L260" s="194"/>
      <c r="M260" s="195"/>
    </row>
    <row r="261" customFormat="false" ht="15.75" hidden="false" customHeight="false" outlineLevel="0" collapsed="false">
      <c r="E261" s="193"/>
      <c r="J261" s="194"/>
      <c r="K261" s="194"/>
      <c r="L261" s="194"/>
      <c r="M261" s="195"/>
    </row>
    <row r="262" customFormat="false" ht="15.75" hidden="false" customHeight="false" outlineLevel="0" collapsed="false">
      <c r="E262" s="193"/>
      <c r="J262" s="194"/>
      <c r="K262" s="194"/>
      <c r="L262" s="194"/>
      <c r="M262" s="195"/>
    </row>
    <row r="263" customFormat="false" ht="15.75" hidden="false" customHeight="false" outlineLevel="0" collapsed="false">
      <c r="E263" s="193"/>
      <c r="J263" s="194"/>
      <c r="K263" s="194"/>
      <c r="L263" s="194"/>
      <c r="M263" s="195"/>
    </row>
    <row r="264" customFormat="false" ht="15.75" hidden="false" customHeight="false" outlineLevel="0" collapsed="false">
      <c r="E264" s="193"/>
      <c r="J264" s="194"/>
      <c r="K264" s="194"/>
      <c r="L264" s="194"/>
      <c r="M264" s="195"/>
    </row>
    <row r="265" customFormat="false" ht="15.75" hidden="false" customHeight="false" outlineLevel="0" collapsed="false">
      <c r="E265" s="193"/>
      <c r="J265" s="194"/>
      <c r="K265" s="194"/>
      <c r="L265" s="194"/>
      <c r="M265" s="195"/>
    </row>
    <row r="266" customFormat="false" ht="15.75" hidden="false" customHeight="false" outlineLevel="0" collapsed="false">
      <c r="E266" s="193"/>
      <c r="J266" s="194"/>
      <c r="K266" s="194"/>
      <c r="L266" s="194"/>
      <c r="M266" s="195"/>
    </row>
    <row r="267" customFormat="false" ht="15.75" hidden="false" customHeight="false" outlineLevel="0" collapsed="false">
      <c r="E267" s="193"/>
      <c r="J267" s="194"/>
      <c r="K267" s="194"/>
      <c r="L267" s="194"/>
      <c r="M267" s="195"/>
    </row>
    <row r="268" customFormat="false" ht="15.75" hidden="false" customHeight="false" outlineLevel="0" collapsed="false">
      <c r="E268" s="193"/>
      <c r="J268" s="194"/>
      <c r="K268" s="194"/>
      <c r="L268" s="194"/>
      <c r="M268" s="195"/>
    </row>
    <row r="269" customFormat="false" ht="15.75" hidden="false" customHeight="false" outlineLevel="0" collapsed="false">
      <c r="E269" s="193"/>
      <c r="J269" s="194"/>
      <c r="K269" s="194"/>
      <c r="L269" s="194"/>
      <c r="M269" s="195"/>
    </row>
    <row r="270" customFormat="false" ht="15.75" hidden="false" customHeight="false" outlineLevel="0" collapsed="false">
      <c r="E270" s="193"/>
      <c r="J270" s="194"/>
      <c r="K270" s="194"/>
      <c r="L270" s="194"/>
      <c r="M270" s="195"/>
    </row>
    <row r="271" customFormat="false" ht="15.75" hidden="false" customHeight="false" outlineLevel="0" collapsed="false">
      <c r="E271" s="193"/>
      <c r="J271" s="194"/>
      <c r="K271" s="194"/>
      <c r="L271" s="194"/>
      <c r="M271" s="195"/>
    </row>
    <row r="272" customFormat="false" ht="15.75" hidden="false" customHeight="false" outlineLevel="0" collapsed="false">
      <c r="E272" s="193"/>
      <c r="J272" s="194"/>
      <c r="K272" s="194"/>
      <c r="L272" s="194"/>
      <c r="M272" s="195"/>
    </row>
    <row r="273" customFormat="false" ht="15.75" hidden="false" customHeight="false" outlineLevel="0" collapsed="false">
      <c r="E273" s="193"/>
      <c r="J273" s="194"/>
      <c r="K273" s="194"/>
      <c r="L273" s="194"/>
      <c r="M273" s="195"/>
    </row>
    <row r="274" customFormat="false" ht="15.75" hidden="false" customHeight="false" outlineLevel="0" collapsed="false">
      <c r="E274" s="193"/>
      <c r="J274" s="194"/>
      <c r="K274" s="194"/>
      <c r="L274" s="194"/>
      <c r="M274" s="195"/>
    </row>
    <row r="275" customFormat="false" ht="15.75" hidden="false" customHeight="false" outlineLevel="0" collapsed="false">
      <c r="E275" s="193"/>
      <c r="J275" s="194"/>
      <c r="K275" s="194"/>
      <c r="L275" s="194"/>
      <c r="M275" s="195"/>
    </row>
    <row r="276" customFormat="false" ht="15.75" hidden="false" customHeight="false" outlineLevel="0" collapsed="false">
      <c r="E276" s="193"/>
      <c r="J276" s="194"/>
      <c r="K276" s="194"/>
      <c r="L276" s="194"/>
      <c r="M276" s="195"/>
    </row>
    <row r="277" customFormat="false" ht="15.75" hidden="false" customHeight="false" outlineLevel="0" collapsed="false">
      <c r="E277" s="193"/>
      <c r="J277" s="194"/>
      <c r="K277" s="194"/>
      <c r="L277" s="194"/>
      <c r="M277" s="195"/>
    </row>
    <row r="278" customFormat="false" ht="15.75" hidden="false" customHeight="false" outlineLevel="0" collapsed="false">
      <c r="E278" s="193"/>
      <c r="J278" s="194"/>
      <c r="K278" s="194"/>
      <c r="L278" s="194"/>
      <c r="M278" s="195"/>
    </row>
    <row r="279" customFormat="false" ht="15.75" hidden="false" customHeight="false" outlineLevel="0" collapsed="false">
      <c r="E279" s="193"/>
      <c r="J279" s="194"/>
      <c r="K279" s="194"/>
      <c r="L279" s="194"/>
      <c r="M279" s="195"/>
    </row>
    <row r="280" customFormat="false" ht="15.75" hidden="false" customHeight="false" outlineLevel="0" collapsed="false">
      <c r="E280" s="193"/>
      <c r="J280" s="194"/>
      <c r="K280" s="194"/>
      <c r="L280" s="194"/>
      <c r="M280" s="195"/>
    </row>
    <row r="281" customFormat="false" ht="15.75" hidden="false" customHeight="false" outlineLevel="0" collapsed="false">
      <c r="E281" s="193"/>
      <c r="J281" s="194"/>
      <c r="K281" s="194"/>
      <c r="L281" s="194"/>
      <c r="M281" s="195"/>
    </row>
    <row r="282" customFormat="false" ht="15.75" hidden="false" customHeight="false" outlineLevel="0" collapsed="false">
      <c r="E282" s="193"/>
      <c r="J282" s="194"/>
      <c r="K282" s="194"/>
      <c r="L282" s="194"/>
      <c r="M282" s="195"/>
    </row>
    <row r="283" customFormat="false" ht="15.75" hidden="false" customHeight="false" outlineLevel="0" collapsed="false">
      <c r="E283" s="193"/>
      <c r="J283" s="194"/>
      <c r="K283" s="194"/>
      <c r="L283" s="194"/>
      <c r="M283" s="195"/>
    </row>
    <row r="284" customFormat="false" ht="15.75" hidden="false" customHeight="false" outlineLevel="0" collapsed="false">
      <c r="E284" s="193"/>
      <c r="J284" s="194"/>
      <c r="K284" s="194"/>
      <c r="L284" s="194"/>
      <c r="M284" s="195"/>
    </row>
    <row r="285" customFormat="false" ht="15.75" hidden="false" customHeight="false" outlineLevel="0" collapsed="false">
      <c r="E285" s="193"/>
      <c r="J285" s="194"/>
      <c r="K285" s="194"/>
      <c r="L285" s="194"/>
      <c r="M285" s="195"/>
    </row>
    <row r="286" customFormat="false" ht="15.75" hidden="false" customHeight="false" outlineLevel="0" collapsed="false">
      <c r="E286" s="193"/>
      <c r="J286" s="194"/>
      <c r="K286" s="194"/>
      <c r="L286" s="194"/>
      <c r="M286" s="195"/>
    </row>
    <row r="287" customFormat="false" ht="15.75" hidden="false" customHeight="false" outlineLevel="0" collapsed="false">
      <c r="E287" s="193"/>
      <c r="J287" s="194"/>
      <c r="K287" s="194"/>
      <c r="L287" s="194"/>
      <c r="M287" s="195"/>
    </row>
    <row r="288" customFormat="false" ht="15.75" hidden="false" customHeight="false" outlineLevel="0" collapsed="false">
      <c r="E288" s="193"/>
      <c r="J288" s="194"/>
      <c r="K288" s="194"/>
      <c r="L288" s="194"/>
      <c r="M288" s="195"/>
    </row>
    <row r="289" customFormat="false" ht="15.75" hidden="false" customHeight="false" outlineLevel="0" collapsed="false">
      <c r="E289" s="193"/>
      <c r="J289" s="194"/>
      <c r="K289" s="194"/>
      <c r="L289" s="194"/>
      <c r="M289" s="195"/>
    </row>
    <row r="290" customFormat="false" ht="15.75" hidden="false" customHeight="false" outlineLevel="0" collapsed="false">
      <c r="E290" s="193"/>
      <c r="J290" s="194"/>
      <c r="K290" s="194"/>
      <c r="L290" s="194"/>
      <c r="M290" s="195"/>
    </row>
    <row r="291" customFormat="false" ht="15.75" hidden="false" customHeight="false" outlineLevel="0" collapsed="false">
      <c r="E291" s="193"/>
      <c r="J291" s="194"/>
      <c r="K291" s="194"/>
      <c r="L291" s="194"/>
      <c r="M291" s="195"/>
    </row>
    <row r="292" customFormat="false" ht="15.75" hidden="false" customHeight="false" outlineLevel="0" collapsed="false">
      <c r="E292" s="193"/>
      <c r="J292" s="194"/>
      <c r="K292" s="194"/>
      <c r="L292" s="194"/>
      <c r="M292" s="195"/>
    </row>
    <row r="293" customFormat="false" ht="15.75" hidden="false" customHeight="false" outlineLevel="0" collapsed="false">
      <c r="E293" s="193"/>
      <c r="J293" s="194"/>
      <c r="K293" s="194"/>
      <c r="L293" s="194"/>
      <c r="M293" s="195"/>
    </row>
    <row r="294" customFormat="false" ht="15.75" hidden="false" customHeight="false" outlineLevel="0" collapsed="false">
      <c r="E294" s="193"/>
      <c r="J294" s="194"/>
      <c r="K294" s="194"/>
      <c r="L294" s="194"/>
      <c r="M294" s="195"/>
    </row>
    <row r="295" customFormat="false" ht="15.75" hidden="false" customHeight="false" outlineLevel="0" collapsed="false">
      <c r="E295" s="193"/>
      <c r="J295" s="194"/>
      <c r="K295" s="194"/>
      <c r="L295" s="194"/>
      <c r="M295" s="195"/>
    </row>
    <row r="296" customFormat="false" ht="15.75" hidden="false" customHeight="false" outlineLevel="0" collapsed="false">
      <c r="E296" s="193"/>
      <c r="J296" s="194"/>
      <c r="K296" s="194"/>
      <c r="L296" s="194"/>
      <c r="M296" s="195"/>
    </row>
    <row r="297" customFormat="false" ht="15.75" hidden="false" customHeight="false" outlineLevel="0" collapsed="false">
      <c r="E297" s="193"/>
      <c r="J297" s="194"/>
      <c r="K297" s="194"/>
      <c r="L297" s="194"/>
      <c r="M297" s="195"/>
    </row>
    <row r="298" customFormat="false" ht="15.75" hidden="false" customHeight="false" outlineLevel="0" collapsed="false">
      <c r="E298" s="193"/>
      <c r="J298" s="194"/>
      <c r="K298" s="194"/>
      <c r="L298" s="194"/>
      <c r="M298" s="195"/>
    </row>
    <row r="299" customFormat="false" ht="15.75" hidden="false" customHeight="false" outlineLevel="0" collapsed="false">
      <c r="E299" s="193"/>
      <c r="J299" s="194"/>
      <c r="K299" s="194"/>
      <c r="L299" s="194"/>
      <c r="M299" s="195"/>
    </row>
    <row r="300" customFormat="false" ht="15.75" hidden="false" customHeight="false" outlineLevel="0" collapsed="false">
      <c r="E300" s="193"/>
      <c r="J300" s="194"/>
      <c r="K300" s="194"/>
      <c r="L300" s="194"/>
      <c r="M300" s="195"/>
    </row>
    <row r="301" customFormat="false" ht="15.75" hidden="false" customHeight="false" outlineLevel="0" collapsed="false">
      <c r="E301" s="193"/>
      <c r="J301" s="194"/>
      <c r="K301" s="194"/>
      <c r="L301" s="194"/>
      <c r="M301" s="195"/>
    </row>
    <row r="302" customFormat="false" ht="15.75" hidden="false" customHeight="false" outlineLevel="0" collapsed="false">
      <c r="E302" s="193"/>
      <c r="J302" s="194"/>
      <c r="K302" s="194"/>
      <c r="L302" s="194"/>
      <c r="M302" s="195"/>
    </row>
    <row r="303" customFormat="false" ht="15.75" hidden="false" customHeight="false" outlineLevel="0" collapsed="false">
      <c r="E303" s="193"/>
      <c r="J303" s="194"/>
      <c r="K303" s="194"/>
      <c r="L303" s="194"/>
      <c r="M303" s="195"/>
    </row>
    <row r="304" customFormat="false" ht="15.75" hidden="false" customHeight="false" outlineLevel="0" collapsed="false">
      <c r="E304" s="193"/>
      <c r="J304" s="194"/>
      <c r="K304" s="194"/>
      <c r="L304" s="194"/>
      <c r="M304" s="195"/>
    </row>
    <row r="305" customFormat="false" ht="15.75" hidden="false" customHeight="false" outlineLevel="0" collapsed="false">
      <c r="E305" s="193"/>
      <c r="J305" s="194"/>
      <c r="K305" s="194"/>
      <c r="L305" s="194"/>
      <c r="M305" s="195"/>
    </row>
    <row r="306" customFormat="false" ht="15.75" hidden="false" customHeight="false" outlineLevel="0" collapsed="false">
      <c r="E306" s="193"/>
      <c r="J306" s="194"/>
      <c r="K306" s="194"/>
      <c r="L306" s="194"/>
      <c r="M306" s="195"/>
    </row>
    <row r="307" customFormat="false" ht="15.75" hidden="false" customHeight="false" outlineLevel="0" collapsed="false">
      <c r="E307" s="193"/>
      <c r="J307" s="194"/>
      <c r="K307" s="194"/>
      <c r="L307" s="194"/>
      <c r="M307" s="195"/>
    </row>
    <row r="308" customFormat="false" ht="15.75" hidden="false" customHeight="false" outlineLevel="0" collapsed="false">
      <c r="E308" s="193"/>
      <c r="J308" s="194"/>
      <c r="K308" s="194"/>
      <c r="L308" s="194"/>
      <c r="M308" s="195"/>
    </row>
    <row r="309" customFormat="false" ht="15.75" hidden="false" customHeight="false" outlineLevel="0" collapsed="false">
      <c r="E309" s="193"/>
      <c r="J309" s="194"/>
      <c r="K309" s="194"/>
      <c r="L309" s="194"/>
      <c r="M309" s="195"/>
    </row>
    <row r="310" customFormat="false" ht="15.75" hidden="false" customHeight="false" outlineLevel="0" collapsed="false">
      <c r="E310" s="193"/>
      <c r="J310" s="194"/>
      <c r="K310" s="194"/>
      <c r="L310" s="194"/>
      <c r="M310" s="195"/>
    </row>
    <row r="311" customFormat="false" ht="15.75" hidden="false" customHeight="false" outlineLevel="0" collapsed="false">
      <c r="E311" s="193"/>
      <c r="J311" s="194"/>
      <c r="K311" s="194"/>
      <c r="L311" s="194"/>
      <c r="M311" s="195"/>
    </row>
    <row r="312" customFormat="false" ht="15.75" hidden="false" customHeight="false" outlineLevel="0" collapsed="false">
      <c r="E312" s="193"/>
      <c r="J312" s="194"/>
      <c r="K312" s="194"/>
      <c r="L312" s="194"/>
      <c r="M312" s="195"/>
    </row>
    <row r="313" customFormat="false" ht="15.75" hidden="false" customHeight="false" outlineLevel="0" collapsed="false">
      <c r="E313" s="193"/>
      <c r="J313" s="194"/>
      <c r="K313" s="194"/>
      <c r="L313" s="194"/>
      <c r="M313" s="195"/>
    </row>
    <row r="314" customFormat="false" ht="15.75" hidden="false" customHeight="false" outlineLevel="0" collapsed="false">
      <c r="E314" s="193"/>
      <c r="J314" s="194"/>
      <c r="K314" s="194"/>
      <c r="L314" s="194"/>
      <c r="M314" s="195"/>
    </row>
    <row r="315" customFormat="false" ht="15.75" hidden="false" customHeight="false" outlineLevel="0" collapsed="false">
      <c r="E315" s="193"/>
      <c r="J315" s="194"/>
      <c r="K315" s="194"/>
      <c r="L315" s="194"/>
      <c r="M315" s="195"/>
    </row>
    <row r="316" customFormat="false" ht="15.75" hidden="false" customHeight="false" outlineLevel="0" collapsed="false">
      <c r="E316" s="193"/>
      <c r="J316" s="194"/>
      <c r="K316" s="194"/>
      <c r="L316" s="194"/>
      <c r="M316" s="195"/>
    </row>
    <row r="317" customFormat="false" ht="15.75" hidden="false" customHeight="false" outlineLevel="0" collapsed="false">
      <c r="E317" s="193"/>
      <c r="J317" s="194"/>
      <c r="K317" s="194"/>
      <c r="L317" s="194"/>
      <c r="M317" s="195"/>
    </row>
    <row r="318" customFormat="false" ht="15.75" hidden="false" customHeight="false" outlineLevel="0" collapsed="false">
      <c r="E318" s="193"/>
      <c r="J318" s="194"/>
      <c r="K318" s="194"/>
      <c r="L318" s="194"/>
      <c r="M318" s="195"/>
    </row>
    <row r="319" customFormat="false" ht="15.75" hidden="false" customHeight="false" outlineLevel="0" collapsed="false">
      <c r="E319" s="193"/>
      <c r="J319" s="194"/>
      <c r="K319" s="194"/>
      <c r="L319" s="194"/>
      <c r="M319" s="195"/>
    </row>
    <row r="320" customFormat="false" ht="15.75" hidden="false" customHeight="false" outlineLevel="0" collapsed="false">
      <c r="E320" s="193"/>
      <c r="J320" s="194"/>
      <c r="K320" s="194"/>
      <c r="L320" s="194"/>
      <c r="M320" s="195"/>
    </row>
    <row r="321" customFormat="false" ht="15.75" hidden="false" customHeight="false" outlineLevel="0" collapsed="false">
      <c r="E321" s="193"/>
      <c r="J321" s="194"/>
      <c r="K321" s="194"/>
      <c r="L321" s="194"/>
      <c r="M321" s="195"/>
    </row>
    <row r="322" customFormat="false" ht="15.75" hidden="false" customHeight="false" outlineLevel="0" collapsed="false">
      <c r="E322" s="193"/>
      <c r="J322" s="194"/>
      <c r="K322" s="194"/>
      <c r="L322" s="194"/>
      <c r="M322" s="195"/>
    </row>
    <row r="323" customFormat="false" ht="15.75" hidden="false" customHeight="false" outlineLevel="0" collapsed="false">
      <c r="E323" s="193"/>
      <c r="J323" s="194"/>
      <c r="K323" s="194"/>
      <c r="L323" s="194"/>
      <c r="M323" s="195"/>
    </row>
    <row r="324" customFormat="false" ht="15.75" hidden="false" customHeight="false" outlineLevel="0" collapsed="false">
      <c r="E324" s="193"/>
      <c r="J324" s="194"/>
      <c r="K324" s="194"/>
      <c r="L324" s="194"/>
      <c r="M324" s="195"/>
    </row>
    <row r="325" customFormat="false" ht="15.75" hidden="false" customHeight="false" outlineLevel="0" collapsed="false">
      <c r="E325" s="193"/>
      <c r="J325" s="194"/>
      <c r="K325" s="194"/>
      <c r="L325" s="194"/>
      <c r="M325" s="195"/>
    </row>
    <row r="326" customFormat="false" ht="15.75" hidden="false" customHeight="false" outlineLevel="0" collapsed="false">
      <c r="E326" s="193"/>
      <c r="J326" s="194"/>
      <c r="K326" s="194"/>
      <c r="L326" s="194"/>
      <c r="M326" s="195"/>
    </row>
    <row r="327" customFormat="false" ht="15.75" hidden="false" customHeight="false" outlineLevel="0" collapsed="false">
      <c r="E327" s="193"/>
      <c r="J327" s="194"/>
      <c r="K327" s="194"/>
      <c r="L327" s="194"/>
      <c r="M327" s="195"/>
    </row>
    <row r="328" customFormat="false" ht="15.75" hidden="false" customHeight="false" outlineLevel="0" collapsed="false">
      <c r="E328" s="193"/>
      <c r="J328" s="194"/>
      <c r="K328" s="194"/>
      <c r="L328" s="194"/>
      <c r="M328" s="195"/>
    </row>
    <row r="329" customFormat="false" ht="15.75" hidden="false" customHeight="false" outlineLevel="0" collapsed="false">
      <c r="E329" s="193"/>
      <c r="J329" s="194"/>
      <c r="K329" s="194"/>
      <c r="L329" s="194"/>
      <c r="M329" s="195"/>
    </row>
    <row r="330" customFormat="false" ht="15.75" hidden="false" customHeight="false" outlineLevel="0" collapsed="false">
      <c r="E330" s="193"/>
      <c r="J330" s="194"/>
      <c r="K330" s="194"/>
      <c r="L330" s="194"/>
      <c r="M330" s="195"/>
    </row>
    <row r="331" customFormat="false" ht="15.75" hidden="false" customHeight="false" outlineLevel="0" collapsed="false">
      <c r="E331" s="193"/>
      <c r="J331" s="194"/>
      <c r="K331" s="194"/>
      <c r="L331" s="194"/>
      <c r="M331" s="195"/>
    </row>
    <row r="332" customFormat="false" ht="15.75" hidden="false" customHeight="false" outlineLevel="0" collapsed="false">
      <c r="E332" s="193"/>
      <c r="J332" s="194"/>
      <c r="K332" s="194"/>
      <c r="L332" s="194"/>
      <c r="M332" s="195"/>
    </row>
    <row r="333" customFormat="false" ht="15.75" hidden="false" customHeight="false" outlineLevel="0" collapsed="false">
      <c r="E333" s="193"/>
      <c r="J333" s="194"/>
      <c r="K333" s="194"/>
      <c r="L333" s="194"/>
      <c r="M333" s="195"/>
    </row>
    <row r="334" customFormat="false" ht="15.75" hidden="false" customHeight="false" outlineLevel="0" collapsed="false">
      <c r="E334" s="193"/>
      <c r="J334" s="194"/>
      <c r="K334" s="194"/>
      <c r="L334" s="194"/>
      <c r="M334" s="195"/>
    </row>
    <row r="335" customFormat="false" ht="15.75" hidden="false" customHeight="false" outlineLevel="0" collapsed="false">
      <c r="E335" s="193"/>
      <c r="J335" s="194"/>
      <c r="K335" s="194"/>
      <c r="L335" s="194"/>
      <c r="M335" s="195"/>
    </row>
    <row r="336" customFormat="false" ht="15.75" hidden="false" customHeight="false" outlineLevel="0" collapsed="false">
      <c r="E336" s="193"/>
      <c r="J336" s="194"/>
      <c r="K336" s="194"/>
      <c r="L336" s="194"/>
      <c r="M336" s="195"/>
    </row>
    <row r="337" customFormat="false" ht="15.75" hidden="false" customHeight="false" outlineLevel="0" collapsed="false">
      <c r="E337" s="193"/>
      <c r="J337" s="194"/>
      <c r="K337" s="194"/>
      <c r="L337" s="194"/>
      <c r="M337" s="195"/>
    </row>
    <row r="338" customFormat="false" ht="15.75" hidden="false" customHeight="false" outlineLevel="0" collapsed="false">
      <c r="E338" s="193"/>
      <c r="J338" s="194"/>
      <c r="K338" s="194"/>
      <c r="L338" s="194"/>
      <c r="M338" s="195"/>
    </row>
    <row r="339" customFormat="false" ht="15.75" hidden="false" customHeight="false" outlineLevel="0" collapsed="false">
      <c r="E339" s="193"/>
      <c r="J339" s="194"/>
      <c r="K339" s="194"/>
      <c r="L339" s="194"/>
      <c r="M339" s="195"/>
    </row>
    <row r="340" customFormat="false" ht="15.75" hidden="false" customHeight="false" outlineLevel="0" collapsed="false">
      <c r="E340" s="193"/>
      <c r="J340" s="194"/>
      <c r="K340" s="194"/>
      <c r="L340" s="194"/>
      <c r="M340" s="195"/>
    </row>
    <row r="341" customFormat="false" ht="15.75" hidden="false" customHeight="false" outlineLevel="0" collapsed="false">
      <c r="E341" s="193"/>
      <c r="J341" s="194"/>
      <c r="K341" s="194"/>
      <c r="L341" s="194"/>
      <c r="M341" s="195"/>
    </row>
    <row r="342" customFormat="false" ht="15.75" hidden="false" customHeight="false" outlineLevel="0" collapsed="false">
      <c r="E342" s="193"/>
      <c r="J342" s="194"/>
      <c r="K342" s="194"/>
      <c r="L342" s="194"/>
      <c r="M342" s="195"/>
    </row>
    <row r="343" customFormat="false" ht="15.75" hidden="false" customHeight="false" outlineLevel="0" collapsed="false">
      <c r="E343" s="193"/>
      <c r="J343" s="194"/>
      <c r="K343" s="194"/>
      <c r="L343" s="194"/>
      <c r="M343" s="195"/>
    </row>
    <row r="344" customFormat="false" ht="15.75" hidden="false" customHeight="false" outlineLevel="0" collapsed="false">
      <c r="E344" s="193"/>
      <c r="J344" s="194"/>
      <c r="K344" s="194"/>
      <c r="L344" s="194"/>
      <c r="M344" s="195"/>
    </row>
    <row r="345" customFormat="false" ht="15.75" hidden="false" customHeight="false" outlineLevel="0" collapsed="false">
      <c r="E345" s="193"/>
      <c r="J345" s="194"/>
      <c r="K345" s="194"/>
      <c r="L345" s="194"/>
      <c r="M345" s="195"/>
    </row>
    <row r="346" customFormat="false" ht="15.75" hidden="false" customHeight="false" outlineLevel="0" collapsed="false">
      <c r="E346" s="193"/>
      <c r="J346" s="194"/>
      <c r="K346" s="194"/>
      <c r="L346" s="194"/>
      <c r="M346" s="195"/>
    </row>
    <row r="347" customFormat="false" ht="15.75" hidden="false" customHeight="false" outlineLevel="0" collapsed="false">
      <c r="E347" s="193"/>
      <c r="J347" s="194"/>
      <c r="K347" s="194"/>
      <c r="L347" s="194"/>
      <c r="M347" s="195"/>
    </row>
    <row r="348" customFormat="false" ht="15.75" hidden="false" customHeight="false" outlineLevel="0" collapsed="false">
      <c r="E348" s="193"/>
      <c r="J348" s="194"/>
      <c r="K348" s="194"/>
      <c r="L348" s="194"/>
      <c r="M348" s="195"/>
    </row>
    <row r="349" customFormat="false" ht="15.75" hidden="false" customHeight="false" outlineLevel="0" collapsed="false">
      <c r="E349" s="193"/>
      <c r="J349" s="194"/>
      <c r="K349" s="194"/>
      <c r="L349" s="194"/>
      <c r="M349" s="195"/>
    </row>
    <row r="350" customFormat="false" ht="15.75" hidden="false" customHeight="false" outlineLevel="0" collapsed="false">
      <c r="E350" s="193"/>
      <c r="J350" s="194"/>
      <c r="K350" s="194"/>
      <c r="L350" s="194"/>
      <c r="M350" s="195"/>
    </row>
    <row r="351" customFormat="false" ht="15.75" hidden="false" customHeight="false" outlineLevel="0" collapsed="false">
      <c r="E351" s="193"/>
      <c r="J351" s="194"/>
      <c r="K351" s="194"/>
      <c r="L351" s="194"/>
      <c r="M351" s="195"/>
    </row>
    <row r="352" customFormat="false" ht="15.75" hidden="false" customHeight="false" outlineLevel="0" collapsed="false">
      <c r="E352" s="193"/>
      <c r="J352" s="194"/>
      <c r="K352" s="194"/>
      <c r="L352" s="194"/>
      <c r="M352" s="195"/>
    </row>
    <row r="353" customFormat="false" ht="15.75" hidden="false" customHeight="false" outlineLevel="0" collapsed="false">
      <c r="E353" s="193"/>
      <c r="J353" s="194"/>
      <c r="K353" s="194"/>
      <c r="L353" s="194"/>
      <c r="M353" s="195"/>
    </row>
    <row r="354" customFormat="false" ht="15.75" hidden="false" customHeight="false" outlineLevel="0" collapsed="false">
      <c r="E354" s="193"/>
      <c r="J354" s="194"/>
      <c r="K354" s="194"/>
      <c r="L354" s="194"/>
      <c r="M354" s="195"/>
    </row>
    <row r="355" customFormat="false" ht="15.75" hidden="false" customHeight="false" outlineLevel="0" collapsed="false">
      <c r="E355" s="193"/>
      <c r="J355" s="194"/>
      <c r="K355" s="194"/>
      <c r="L355" s="194"/>
      <c r="M355" s="195"/>
    </row>
    <row r="356" customFormat="false" ht="15.75" hidden="false" customHeight="false" outlineLevel="0" collapsed="false">
      <c r="E356" s="193"/>
      <c r="J356" s="194"/>
      <c r="K356" s="194"/>
      <c r="L356" s="194"/>
      <c r="M356" s="195"/>
    </row>
    <row r="357" customFormat="false" ht="15.75" hidden="false" customHeight="false" outlineLevel="0" collapsed="false">
      <c r="E357" s="193"/>
      <c r="J357" s="194"/>
      <c r="K357" s="194"/>
      <c r="L357" s="194"/>
      <c r="M357" s="195"/>
    </row>
    <row r="358" customFormat="false" ht="15.75" hidden="false" customHeight="false" outlineLevel="0" collapsed="false">
      <c r="E358" s="193"/>
      <c r="J358" s="194"/>
      <c r="K358" s="194"/>
      <c r="L358" s="194"/>
      <c r="M358" s="195"/>
    </row>
    <row r="359" customFormat="false" ht="15.75" hidden="false" customHeight="false" outlineLevel="0" collapsed="false">
      <c r="E359" s="193"/>
      <c r="J359" s="194"/>
      <c r="K359" s="194"/>
      <c r="L359" s="194"/>
      <c r="M359" s="195"/>
    </row>
    <row r="360" customFormat="false" ht="15.75" hidden="false" customHeight="false" outlineLevel="0" collapsed="false">
      <c r="E360" s="193"/>
      <c r="J360" s="194"/>
      <c r="K360" s="194"/>
      <c r="L360" s="194"/>
      <c r="M360" s="195"/>
    </row>
    <row r="361" customFormat="false" ht="15.75" hidden="false" customHeight="false" outlineLevel="0" collapsed="false">
      <c r="E361" s="193"/>
      <c r="J361" s="194"/>
      <c r="K361" s="194"/>
      <c r="L361" s="194"/>
      <c r="M361" s="195"/>
    </row>
    <row r="362" customFormat="false" ht="15.75" hidden="false" customHeight="false" outlineLevel="0" collapsed="false">
      <c r="E362" s="193"/>
      <c r="J362" s="194"/>
      <c r="K362" s="194"/>
      <c r="L362" s="194"/>
      <c r="M362" s="195"/>
    </row>
    <row r="363" customFormat="false" ht="15.75" hidden="false" customHeight="false" outlineLevel="0" collapsed="false">
      <c r="E363" s="193"/>
      <c r="J363" s="194"/>
      <c r="K363" s="194"/>
      <c r="L363" s="194"/>
      <c r="M363" s="195"/>
    </row>
    <row r="364" customFormat="false" ht="15.75" hidden="false" customHeight="false" outlineLevel="0" collapsed="false">
      <c r="E364" s="193"/>
      <c r="J364" s="194"/>
      <c r="K364" s="194"/>
      <c r="L364" s="194"/>
      <c r="M364" s="195"/>
    </row>
    <row r="365" customFormat="false" ht="15.75" hidden="false" customHeight="false" outlineLevel="0" collapsed="false">
      <c r="E365" s="193"/>
      <c r="J365" s="194"/>
      <c r="K365" s="194"/>
      <c r="L365" s="194"/>
      <c r="M365" s="195"/>
    </row>
    <row r="366" customFormat="false" ht="15.75" hidden="false" customHeight="false" outlineLevel="0" collapsed="false">
      <c r="E366" s="193"/>
      <c r="J366" s="194"/>
      <c r="K366" s="194"/>
      <c r="L366" s="194"/>
      <c r="M366" s="195"/>
    </row>
    <row r="367" customFormat="false" ht="15.75" hidden="false" customHeight="false" outlineLevel="0" collapsed="false">
      <c r="E367" s="193"/>
      <c r="J367" s="194"/>
      <c r="K367" s="194"/>
      <c r="L367" s="194"/>
      <c r="M367" s="195"/>
    </row>
    <row r="368" customFormat="false" ht="15.75" hidden="false" customHeight="false" outlineLevel="0" collapsed="false">
      <c r="E368" s="193"/>
      <c r="J368" s="194"/>
      <c r="K368" s="194"/>
      <c r="L368" s="194"/>
      <c r="M368" s="195"/>
    </row>
    <row r="369" customFormat="false" ht="15.75" hidden="false" customHeight="false" outlineLevel="0" collapsed="false">
      <c r="E369" s="193"/>
      <c r="J369" s="194"/>
      <c r="K369" s="194"/>
      <c r="L369" s="194"/>
      <c r="M369" s="195"/>
    </row>
    <row r="370" customFormat="false" ht="15.75" hidden="false" customHeight="false" outlineLevel="0" collapsed="false">
      <c r="E370" s="193"/>
      <c r="J370" s="194"/>
      <c r="K370" s="194"/>
      <c r="L370" s="194"/>
      <c r="M370" s="195"/>
    </row>
    <row r="371" customFormat="false" ht="15.75" hidden="false" customHeight="false" outlineLevel="0" collapsed="false">
      <c r="E371" s="193"/>
      <c r="J371" s="194"/>
      <c r="K371" s="194"/>
      <c r="L371" s="194"/>
      <c r="M371" s="195"/>
    </row>
    <row r="372" customFormat="false" ht="15.75" hidden="false" customHeight="false" outlineLevel="0" collapsed="false">
      <c r="E372" s="193"/>
      <c r="J372" s="194"/>
      <c r="K372" s="194"/>
      <c r="L372" s="194"/>
      <c r="M372" s="195"/>
    </row>
    <row r="373" customFormat="false" ht="15.75" hidden="false" customHeight="false" outlineLevel="0" collapsed="false">
      <c r="E373" s="193"/>
      <c r="J373" s="194"/>
      <c r="K373" s="194"/>
      <c r="L373" s="194"/>
      <c r="M373" s="195"/>
    </row>
    <row r="374" customFormat="false" ht="15.75" hidden="false" customHeight="false" outlineLevel="0" collapsed="false">
      <c r="E374" s="193"/>
      <c r="J374" s="194"/>
      <c r="K374" s="194"/>
      <c r="L374" s="194"/>
      <c r="M374" s="195"/>
    </row>
    <row r="375" customFormat="false" ht="15.75" hidden="false" customHeight="false" outlineLevel="0" collapsed="false">
      <c r="E375" s="193"/>
      <c r="J375" s="194"/>
      <c r="K375" s="194"/>
      <c r="L375" s="194"/>
      <c r="M375" s="195"/>
    </row>
    <row r="376" customFormat="false" ht="15.75" hidden="false" customHeight="false" outlineLevel="0" collapsed="false">
      <c r="E376" s="193"/>
      <c r="J376" s="194"/>
      <c r="K376" s="194"/>
      <c r="L376" s="194"/>
      <c r="M376" s="195"/>
    </row>
    <row r="377" customFormat="false" ht="15.75" hidden="false" customHeight="false" outlineLevel="0" collapsed="false">
      <c r="E377" s="193"/>
      <c r="J377" s="194"/>
      <c r="K377" s="194"/>
      <c r="L377" s="194"/>
      <c r="M377" s="195"/>
    </row>
    <row r="378" customFormat="false" ht="15.75" hidden="false" customHeight="false" outlineLevel="0" collapsed="false">
      <c r="E378" s="193"/>
      <c r="J378" s="194"/>
      <c r="K378" s="194"/>
      <c r="L378" s="194"/>
      <c r="M378" s="195"/>
    </row>
    <row r="379" customFormat="false" ht="15.75" hidden="false" customHeight="false" outlineLevel="0" collapsed="false">
      <c r="E379" s="193"/>
      <c r="J379" s="194"/>
      <c r="K379" s="194"/>
      <c r="L379" s="194"/>
      <c r="M379" s="195"/>
    </row>
    <row r="380" customFormat="false" ht="15.75" hidden="false" customHeight="false" outlineLevel="0" collapsed="false">
      <c r="E380" s="193"/>
      <c r="J380" s="194"/>
      <c r="K380" s="194"/>
      <c r="L380" s="194"/>
      <c r="M380" s="195"/>
    </row>
    <row r="381" customFormat="false" ht="15.75" hidden="false" customHeight="false" outlineLevel="0" collapsed="false">
      <c r="E381" s="193"/>
      <c r="J381" s="194"/>
      <c r="K381" s="194"/>
      <c r="L381" s="194"/>
      <c r="M381" s="195"/>
    </row>
    <row r="382" customFormat="false" ht="15.75" hidden="false" customHeight="false" outlineLevel="0" collapsed="false">
      <c r="E382" s="193"/>
      <c r="J382" s="194"/>
      <c r="K382" s="194"/>
      <c r="L382" s="194"/>
      <c r="M382" s="195"/>
    </row>
    <row r="383" customFormat="false" ht="15.75" hidden="false" customHeight="false" outlineLevel="0" collapsed="false">
      <c r="E383" s="193"/>
      <c r="J383" s="194"/>
      <c r="K383" s="194"/>
      <c r="L383" s="194"/>
      <c r="M383" s="195"/>
    </row>
    <row r="384" customFormat="false" ht="15.75" hidden="false" customHeight="false" outlineLevel="0" collapsed="false">
      <c r="E384" s="193"/>
      <c r="J384" s="194"/>
      <c r="K384" s="194"/>
      <c r="L384" s="194"/>
      <c r="M384" s="195"/>
    </row>
    <row r="385" customFormat="false" ht="15.75" hidden="false" customHeight="false" outlineLevel="0" collapsed="false">
      <c r="E385" s="193"/>
      <c r="J385" s="194"/>
      <c r="K385" s="194"/>
      <c r="L385" s="194"/>
      <c r="M385" s="195"/>
    </row>
    <row r="386" customFormat="false" ht="15.75" hidden="false" customHeight="false" outlineLevel="0" collapsed="false">
      <c r="E386" s="193"/>
      <c r="J386" s="194"/>
      <c r="K386" s="194"/>
      <c r="L386" s="194"/>
      <c r="M386" s="195"/>
    </row>
    <row r="387" customFormat="false" ht="15.75" hidden="false" customHeight="false" outlineLevel="0" collapsed="false">
      <c r="E387" s="193"/>
      <c r="J387" s="194"/>
      <c r="K387" s="194"/>
      <c r="L387" s="194"/>
      <c r="M387" s="195"/>
    </row>
    <row r="388" customFormat="false" ht="15.75" hidden="false" customHeight="false" outlineLevel="0" collapsed="false">
      <c r="E388" s="193"/>
      <c r="J388" s="194"/>
      <c r="K388" s="194"/>
      <c r="L388" s="194"/>
      <c r="M388" s="195"/>
    </row>
    <row r="389" customFormat="false" ht="15.75" hidden="false" customHeight="false" outlineLevel="0" collapsed="false">
      <c r="E389" s="193"/>
      <c r="J389" s="194"/>
      <c r="K389" s="194"/>
      <c r="L389" s="194"/>
      <c r="M389" s="195"/>
    </row>
    <row r="390" customFormat="false" ht="15.75" hidden="false" customHeight="false" outlineLevel="0" collapsed="false">
      <c r="E390" s="193"/>
      <c r="J390" s="194"/>
      <c r="K390" s="194"/>
      <c r="L390" s="194"/>
      <c r="M390" s="195"/>
    </row>
    <row r="391" customFormat="false" ht="15.75" hidden="false" customHeight="false" outlineLevel="0" collapsed="false">
      <c r="E391" s="193"/>
      <c r="J391" s="194"/>
      <c r="K391" s="194"/>
      <c r="L391" s="194"/>
      <c r="M391" s="195"/>
    </row>
    <row r="392" customFormat="false" ht="15.75" hidden="false" customHeight="false" outlineLevel="0" collapsed="false">
      <c r="E392" s="193"/>
      <c r="J392" s="194"/>
      <c r="K392" s="194"/>
      <c r="L392" s="194"/>
      <c r="M392" s="195"/>
    </row>
    <row r="393" customFormat="false" ht="15.75" hidden="false" customHeight="false" outlineLevel="0" collapsed="false">
      <c r="E393" s="193"/>
      <c r="J393" s="194"/>
      <c r="K393" s="194"/>
      <c r="L393" s="194"/>
      <c r="M393" s="195"/>
    </row>
    <row r="394" customFormat="false" ht="15.75" hidden="false" customHeight="false" outlineLevel="0" collapsed="false">
      <c r="E394" s="193"/>
      <c r="J394" s="194"/>
      <c r="K394" s="194"/>
      <c r="L394" s="194"/>
      <c r="M394" s="195"/>
    </row>
    <row r="395" customFormat="false" ht="15.75" hidden="false" customHeight="false" outlineLevel="0" collapsed="false">
      <c r="E395" s="193"/>
      <c r="J395" s="194"/>
      <c r="K395" s="194"/>
      <c r="L395" s="194"/>
      <c r="M395" s="195"/>
    </row>
    <row r="396" customFormat="false" ht="15.75" hidden="false" customHeight="false" outlineLevel="0" collapsed="false">
      <c r="E396" s="193"/>
      <c r="J396" s="194"/>
      <c r="K396" s="194"/>
      <c r="L396" s="194"/>
      <c r="M396" s="195"/>
    </row>
    <row r="397" customFormat="false" ht="15.75" hidden="false" customHeight="false" outlineLevel="0" collapsed="false">
      <c r="E397" s="193"/>
      <c r="J397" s="194"/>
      <c r="K397" s="194"/>
      <c r="L397" s="194"/>
      <c r="M397" s="195"/>
    </row>
    <row r="398" customFormat="false" ht="15.75" hidden="false" customHeight="false" outlineLevel="0" collapsed="false">
      <c r="E398" s="193"/>
      <c r="J398" s="194"/>
      <c r="K398" s="194"/>
      <c r="L398" s="194"/>
      <c r="M398" s="195"/>
    </row>
    <row r="399" customFormat="false" ht="15.75" hidden="false" customHeight="false" outlineLevel="0" collapsed="false">
      <c r="E399" s="193"/>
      <c r="J399" s="194"/>
      <c r="K399" s="194"/>
      <c r="L399" s="194"/>
      <c r="M399" s="195"/>
    </row>
    <row r="400" customFormat="false" ht="15.75" hidden="false" customHeight="false" outlineLevel="0" collapsed="false">
      <c r="E400" s="193"/>
      <c r="J400" s="194"/>
      <c r="K400" s="194"/>
      <c r="L400" s="194"/>
      <c r="M400" s="195"/>
    </row>
    <row r="401" customFormat="false" ht="15.75" hidden="false" customHeight="false" outlineLevel="0" collapsed="false">
      <c r="E401" s="193"/>
      <c r="J401" s="194"/>
      <c r="K401" s="194"/>
      <c r="L401" s="194"/>
      <c r="M401" s="195"/>
    </row>
    <row r="402" customFormat="false" ht="15.75" hidden="false" customHeight="false" outlineLevel="0" collapsed="false">
      <c r="E402" s="193"/>
      <c r="J402" s="194"/>
      <c r="K402" s="194"/>
      <c r="L402" s="194"/>
      <c r="M402" s="195"/>
    </row>
    <row r="403" customFormat="false" ht="15.75" hidden="false" customHeight="false" outlineLevel="0" collapsed="false">
      <c r="E403" s="193"/>
      <c r="J403" s="194"/>
      <c r="K403" s="194"/>
      <c r="L403" s="194"/>
      <c r="M403" s="195"/>
    </row>
    <row r="404" customFormat="false" ht="15.75" hidden="false" customHeight="false" outlineLevel="0" collapsed="false">
      <c r="E404" s="193"/>
      <c r="J404" s="194"/>
      <c r="K404" s="194"/>
      <c r="L404" s="194"/>
      <c r="M404" s="195"/>
    </row>
    <row r="405" customFormat="false" ht="15.75" hidden="false" customHeight="false" outlineLevel="0" collapsed="false">
      <c r="E405" s="193"/>
      <c r="J405" s="194"/>
      <c r="K405" s="194"/>
      <c r="L405" s="194"/>
      <c r="M405" s="195"/>
    </row>
    <row r="406" customFormat="false" ht="15.75" hidden="false" customHeight="false" outlineLevel="0" collapsed="false">
      <c r="E406" s="193"/>
      <c r="J406" s="194"/>
      <c r="K406" s="194"/>
      <c r="L406" s="194"/>
      <c r="M406" s="195"/>
    </row>
    <row r="407" customFormat="false" ht="15.75" hidden="false" customHeight="false" outlineLevel="0" collapsed="false">
      <c r="E407" s="193"/>
      <c r="J407" s="194"/>
      <c r="K407" s="194"/>
      <c r="L407" s="194"/>
      <c r="M407" s="195"/>
    </row>
    <row r="408" customFormat="false" ht="15.75" hidden="false" customHeight="false" outlineLevel="0" collapsed="false">
      <c r="E408" s="193"/>
      <c r="J408" s="194"/>
      <c r="K408" s="194"/>
      <c r="L408" s="194"/>
      <c r="M408" s="195"/>
    </row>
    <row r="409" customFormat="false" ht="15.75" hidden="false" customHeight="false" outlineLevel="0" collapsed="false">
      <c r="E409" s="193"/>
      <c r="J409" s="194"/>
      <c r="K409" s="194"/>
      <c r="L409" s="194"/>
      <c r="M409" s="195"/>
    </row>
    <row r="410" customFormat="false" ht="15.75" hidden="false" customHeight="false" outlineLevel="0" collapsed="false">
      <c r="E410" s="193"/>
      <c r="J410" s="194"/>
      <c r="K410" s="194"/>
      <c r="L410" s="194"/>
      <c r="M410" s="195"/>
    </row>
    <row r="411" customFormat="false" ht="15.75" hidden="false" customHeight="false" outlineLevel="0" collapsed="false">
      <c r="E411" s="193"/>
      <c r="J411" s="194"/>
      <c r="K411" s="194"/>
      <c r="L411" s="194"/>
      <c r="M411" s="195"/>
    </row>
    <row r="412" customFormat="false" ht="15.75" hidden="false" customHeight="false" outlineLevel="0" collapsed="false">
      <c r="E412" s="193"/>
      <c r="J412" s="194"/>
      <c r="K412" s="194"/>
      <c r="L412" s="194"/>
      <c r="M412" s="195"/>
    </row>
    <row r="413" customFormat="false" ht="15.75" hidden="false" customHeight="false" outlineLevel="0" collapsed="false">
      <c r="E413" s="193"/>
      <c r="J413" s="194"/>
      <c r="K413" s="194"/>
      <c r="L413" s="194"/>
      <c r="M413" s="195"/>
    </row>
    <row r="414" customFormat="false" ht="15.75" hidden="false" customHeight="false" outlineLevel="0" collapsed="false">
      <c r="E414" s="193"/>
      <c r="J414" s="194"/>
      <c r="K414" s="194"/>
      <c r="L414" s="194"/>
      <c r="M414" s="195"/>
    </row>
    <row r="415" customFormat="false" ht="15.75" hidden="false" customHeight="false" outlineLevel="0" collapsed="false">
      <c r="E415" s="193"/>
      <c r="J415" s="194"/>
      <c r="K415" s="194"/>
      <c r="L415" s="194"/>
      <c r="M415" s="195"/>
    </row>
    <row r="416" customFormat="false" ht="15.75" hidden="false" customHeight="false" outlineLevel="0" collapsed="false">
      <c r="E416" s="193"/>
      <c r="J416" s="194"/>
      <c r="K416" s="194"/>
      <c r="L416" s="194"/>
      <c r="M416" s="195"/>
    </row>
    <row r="417" customFormat="false" ht="15.75" hidden="false" customHeight="false" outlineLevel="0" collapsed="false">
      <c r="E417" s="193"/>
      <c r="J417" s="194"/>
      <c r="K417" s="194"/>
      <c r="L417" s="194"/>
      <c r="M417" s="195"/>
    </row>
    <row r="418" customFormat="false" ht="15.75" hidden="false" customHeight="false" outlineLevel="0" collapsed="false">
      <c r="E418" s="193"/>
      <c r="J418" s="194"/>
      <c r="K418" s="194"/>
      <c r="L418" s="194"/>
      <c r="M418" s="195"/>
    </row>
    <row r="419" customFormat="false" ht="15.75" hidden="false" customHeight="false" outlineLevel="0" collapsed="false">
      <c r="E419" s="193"/>
      <c r="J419" s="194"/>
      <c r="K419" s="194"/>
      <c r="L419" s="194"/>
      <c r="M419" s="195"/>
    </row>
    <row r="420" customFormat="false" ht="15.75" hidden="false" customHeight="false" outlineLevel="0" collapsed="false">
      <c r="E420" s="193"/>
      <c r="J420" s="194"/>
      <c r="K420" s="194"/>
      <c r="L420" s="194"/>
      <c r="M420" s="195"/>
    </row>
    <row r="421" customFormat="false" ht="15.75" hidden="false" customHeight="false" outlineLevel="0" collapsed="false">
      <c r="E421" s="193"/>
      <c r="J421" s="194"/>
      <c r="K421" s="194"/>
      <c r="L421" s="194"/>
      <c r="M421" s="195"/>
    </row>
    <row r="422" customFormat="false" ht="15.75" hidden="false" customHeight="false" outlineLevel="0" collapsed="false">
      <c r="E422" s="193"/>
      <c r="J422" s="194"/>
      <c r="K422" s="194"/>
      <c r="L422" s="194"/>
      <c r="M422" s="195"/>
    </row>
    <row r="423" customFormat="false" ht="15.75" hidden="false" customHeight="false" outlineLevel="0" collapsed="false">
      <c r="E423" s="193"/>
      <c r="J423" s="194"/>
      <c r="K423" s="194"/>
      <c r="L423" s="194"/>
      <c r="M423" s="195"/>
    </row>
    <row r="424" customFormat="false" ht="15.75" hidden="false" customHeight="false" outlineLevel="0" collapsed="false">
      <c r="E424" s="193"/>
      <c r="J424" s="194"/>
      <c r="K424" s="194"/>
      <c r="L424" s="194"/>
      <c r="M424" s="195"/>
    </row>
    <row r="425" customFormat="false" ht="15.75" hidden="false" customHeight="false" outlineLevel="0" collapsed="false">
      <c r="E425" s="193"/>
      <c r="J425" s="194"/>
      <c r="K425" s="194"/>
      <c r="L425" s="194"/>
      <c r="M425" s="195"/>
    </row>
    <row r="426" customFormat="false" ht="15.75" hidden="false" customHeight="false" outlineLevel="0" collapsed="false">
      <c r="E426" s="193"/>
      <c r="J426" s="194"/>
      <c r="K426" s="194"/>
      <c r="L426" s="194"/>
      <c r="M426" s="195"/>
    </row>
    <row r="427" customFormat="false" ht="15.75" hidden="false" customHeight="false" outlineLevel="0" collapsed="false">
      <c r="E427" s="193"/>
      <c r="J427" s="194"/>
      <c r="K427" s="194"/>
      <c r="L427" s="194"/>
      <c r="M427" s="195"/>
    </row>
    <row r="428" customFormat="false" ht="15.75" hidden="false" customHeight="false" outlineLevel="0" collapsed="false">
      <c r="E428" s="193"/>
      <c r="J428" s="194"/>
      <c r="K428" s="194"/>
      <c r="L428" s="194"/>
      <c r="M428" s="195"/>
    </row>
    <row r="429" customFormat="false" ht="15.75" hidden="false" customHeight="false" outlineLevel="0" collapsed="false">
      <c r="E429" s="193"/>
      <c r="J429" s="194"/>
      <c r="K429" s="194"/>
      <c r="L429" s="194"/>
      <c r="M429" s="195"/>
    </row>
    <row r="430" customFormat="false" ht="15.75" hidden="false" customHeight="false" outlineLevel="0" collapsed="false">
      <c r="E430" s="193"/>
      <c r="J430" s="194"/>
      <c r="K430" s="194"/>
      <c r="L430" s="194"/>
      <c r="M430" s="195"/>
    </row>
    <row r="431" customFormat="false" ht="15.75" hidden="false" customHeight="false" outlineLevel="0" collapsed="false">
      <c r="E431" s="193"/>
      <c r="J431" s="194"/>
      <c r="K431" s="194"/>
      <c r="L431" s="194"/>
      <c r="M431" s="195"/>
    </row>
    <row r="432" customFormat="false" ht="15.75" hidden="false" customHeight="false" outlineLevel="0" collapsed="false">
      <c r="E432" s="193"/>
      <c r="J432" s="194"/>
      <c r="K432" s="194"/>
      <c r="L432" s="194"/>
      <c r="M432" s="195"/>
    </row>
    <row r="433" customFormat="false" ht="15.75" hidden="false" customHeight="false" outlineLevel="0" collapsed="false">
      <c r="E433" s="193"/>
      <c r="J433" s="194"/>
      <c r="K433" s="194"/>
      <c r="L433" s="194"/>
      <c r="M433" s="195"/>
    </row>
    <row r="434" customFormat="false" ht="15.75" hidden="false" customHeight="false" outlineLevel="0" collapsed="false">
      <c r="E434" s="193"/>
      <c r="J434" s="194"/>
      <c r="K434" s="194"/>
      <c r="L434" s="194"/>
      <c r="M434" s="195"/>
    </row>
    <row r="435" customFormat="false" ht="15.75" hidden="false" customHeight="false" outlineLevel="0" collapsed="false">
      <c r="E435" s="193"/>
      <c r="J435" s="194"/>
      <c r="K435" s="194"/>
      <c r="L435" s="194"/>
      <c r="M435" s="195"/>
    </row>
    <row r="436" customFormat="false" ht="15.75" hidden="false" customHeight="false" outlineLevel="0" collapsed="false">
      <c r="E436" s="193"/>
      <c r="J436" s="194"/>
      <c r="K436" s="194"/>
      <c r="L436" s="194"/>
      <c r="M436" s="195"/>
    </row>
    <row r="437" customFormat="false" ht="15.75" hidden="false" customHeight="false" outlineLevel="0" collapsed="false">
      <c r="E437" s="193"/>
      <c r="J437" s="194"/>
      <c r="K437" s="194"/>
      <c r="L437" s="194"/>
      <c r="M437" s="195"/>
    </row>
    <row r="438" customFormat="false" ht="15.75" hidden="false" customHeight="false" outlineLevel="0" collapsed="false">
      <c r="E438" s="193"/>
      <c r="J438" s="194"/>
      <c r="K438" s="194"/>
      <c r="L438" s="194"/>
      <c r="M438" s="195"/>
    </row>
    <row r="439" customFormat="false" ht="15.75" hidden="false" customHeight="false" outlineLevel="0" collapsed="false">
      <c r="E439" s="193"/>
      <c r="J439" s="194"/>
      <c r="K439" s="194"/>
      <c r="L439" s="194"/>
      <c r="M439" s="195"/>
    </row>
    <row r="440" customFormat="false" ht="15.75" hidden="false" customHeight="false" outlineLevel="0" collapsed="false">
      <c r="E440" s="193"/>
      <c r="J440" s="194"/>
      <c r="K440" s="194"/>
      <c r="L440" s="194"/>
      <c r="M440" s="195"/>
    </row>
    <row r="441" customFormat="false" ht="15.75" hidden="false" customHeight="false" outlineLevel="0" collapsed="false">
      <c r="E441" s="193"/>
      <c r="J441" s="194"/>
      <c r="K441" s="194"/>
      <c r="L441" s="194"/>
      <c r="M441" s="195"/>
    </row>
    <row r="442" customFormat="false" ht="15.75" hidden="false" customHeight="false" outlineLevel="0" collapsed="false">
      <c r="E442" s="193"/>
      <c r="J442" s="194"/>
      <c r="K442" s="194"/>
      <c r="L442" s="194"/>
      <c r="M442" s="195"/>
    </row>
    <row r="443" customFormat="false" ht="15.75" hidden="false" customHeight="false" outlineLevel="0" collapsed="false">
      <c r="E443" s="193"/>
      <c r="J443" s="194"/>
      <c r="K443" s="194"/>
      <c r="L443" s="194"/>
      <c r="M443" s="195"/>
    </row>
    <row r="444" customFormat="false" ht="15.75" hidden="false" customHeight="false" outlineLevel="0" collapsed="false">
      <c r="E444" s="193"/>
      <c r="J444" s="194"/>
      <c r="K444" s="194"/>
      <c r="L444" s="194"/>
      <c r="M444" s="195"/>
    </row>
    <row r="445" customFormat="false" ht="15.75" hidden="false" customHeight="false" outlineLevel="0" collapsed="false">
      <c r="E445" s="193"/>
      <c r="J445" s="194"/>
      <c r="K445" s="194"/>
      <c r="L445" s="194"/>
      <c r="M445" s="195"/>
    </row>
    <row r="446" customFormat="false" ht="15.75" hidden="false" customHeight="false" outlineLevel="0" collapsed="false">
      <c r="E446" s="193"/>
      <c r="J446" s="194"/>
      <c r="K446" s="194"/>
      <c r="L446" s="194"/>
      <c r="M446" s="195"/>
    </row>
    <row r="447" customFormat="false" ht="15.75" hidden="false" customHeight="false" outlineLevel="0" collapsed="false">
      <c r="E447" s="193"/>
      <c r="J447" s="194"/>
      <c r="K447" s="194"/>
      <c r="L447" s="194"/>
      <c r="M447" s="195"/>
    </row>
    <row r="448" customFormat="false" ht="15.75" hidden="false" customHeight="false" outlineLevel="0" collapsed="false">
      <c r="E448" s="193"/>
      <c r="J448" s="194"/>
      <c r="K448" s="194"/>
      <c r="L448" s="194"/>
      <c r="M448" s="195"/>
    </row>
    <row r="449" customFormat="false" ht="15.75" hidden="false" customHeight="false" outlineLevel="0" collapsed="false">
      <c r="E449" s="193"/>
      <c r="J449" s="194"/>
      <c r="K449" s="194"/>
      <c r="L449" s="194"/>
      <c r="M449" s="195"/>
    </row>
    <row r="450" customFormat="false" ht="15.75" hidden="false" customHeight="false" outlineLevel="0" collapsed="false">
      <c r="E450" s="193"/>
      <c r="J450" s="194"/>
      <c r="K450" s="194"/>
      <c r="L450" s="194"/>
      <c r="M450" s="195"/>
    </row>
    <row r="451" customFormat="false" ht="15.75" hidden="false" customHeight="false" outlineLevel="0" collapsed="false">
      <c r="E451" s="193"/>
      <c r="J451" s="194"/>
      <c r="K451" s="194"/>
      <c r="L451" s="194"/>
      <c r="M451" s="195"/>
    </row>
    <row r="452" customFormat="false" ht="15.75" hidden="false" customHeight="false" outlineLevel="0" collapsed="false">
      <c r="E452" s="193"/>
      <c r="J452" s="194"/>
      <c r="K452" s="194"/>
      <c r="L452" s="194"/>
      <c r="M452" s="195"/>
    </row>
    <row r="453" customFormat="false" ht="15.75" hidden="false" customHeight="false" outlineLevel="0" collapsed="false">
      <c r="E453" s="193"/>
      <c r="J453" s="194"/>
      <c r="K453" s="194"/>
      <c r="L453" s="194"/>
      <c r="M453" s="195"/>
    </row>
    <row r="454" customFormat="false" ht="15.75" hidden="false" customHeight="false" outlineLevel="0" collapsed="false">
      <c r="E454" s="193"/>
      <c r="J454" s="194"/>
      <c r="K454" s="194"/>
      <c r="L454" s="194"/>
      <c r="M454" s="195"/>
    </row>
    <row r="455" customFormat="false" ht="15.75" hidden="false" customHeight="false" outlineLevel="0" collapsed="false">
      <c r="E455" s="193"/>
      <c r="J455" s="194"/>
      <c r="K455" s="194"/>
      <c r="L455" s="194"/>
      <c r="M455" s="195"/>
    </row>
    <row r="456" customFormat="false" ht="15.75" hidden="false" customHeight="false" outlineLevel="0" collapsed="false">
      <c r="E456" s="193"/>
      <c r="J456" s="194"/>
      <c r="K456" s="194"/>
      <c r="L456" s="194"/>
      <c r="M456" s="195"/>
    </row>
    <row r="457" customFormat="false" ht="15.75" hidden="false" customHeight="false" outlineLevel="0" collapsed="false">
      <c r="E457" s="193"/>
      <c r="J457" s="194"/>
      <c r="K457" s="194"/>
      <c r="L457" s="194"/>
      <c r="M457" s="195"/>
    </row>
    <row r="458" customFormat="false" ht="15.75" hidden="false" customHeight="false" outlineLevel="0" collapsed="false">
      <c r="E458" s="193"/>
      <c r="J458" s="194"/>
      <c r="K458" s="194"/>
      <c r="L458" s="194"/>
      <c r="M458" s="195"/>
    </row>
    <row r="459" customFormat="false" ht="15.75" hidden="false" customHeight="false" outlineLevel="0" collapsed="false">
      <c r="E459" s="193"/>
      <c r="J459" s="194"/>
      <c r="K459" s="194"/>
      <c r="L459" s="194"/>
      <c r="M459" s="195"/>
    </row>
    <row r="460" customFormat="false" ht="15.75" hidden="false" customHeight="false" outlineLevel="0" collapsed="false">
      <c r="E460" s="193"/>
      <c r="J460" s="194"/>
      <c r="K460" s="194"/>
      <c r="L460" s="194"/>
      <c r="M460" s="195"/>
    </row>
    <row r="461" customFormat="false" ht="15.75" hidden="false" customHeight="false" outlineLevel="0" collapsed="false">
      <c r="E461" s="193"/>
      <c r="J461" s="194"/>
      <c r="K461" s="194"/>
      <c r="L461" s="194"/>
      <c r="M461" s="195"/>
    </row>
    <row r="462" customFormat="false" ht="15.75" hidden="false" customHeight="false" outlineLevel="0" collapsed="false">
      <c r="E462" s="193"/>
      <c r="J462" s="194"/>
      <c r="K462" s="194"/>
      <c r="L462" s="194"/>
      <c r="M462" s="195"/>
    </row>
    <row r="463" customFormat="false" ht="15.75" hidden="false" customHeight="false" outlineLevel="0" collapsed="false">
      <c r="E463" s="193"/>
      <c r="J463" s="194"/>
      <c r="K463" s="194"/>
      <c r="L463" s="194"/>
      <c r="M463" s="195"/>
    </row>
    <row r="464" customFormat="false" ht="15.75" hidden="false" customHeight="false" outlineLevel="0" collapsed="false">
      <c r="E464" s="193"/>
      <c r="J464" s="194"/>
      <c r="K464" s="194"/>
      <c r="L464" s="194"/>
      <c r="M464" s="195"/>
    </row>
    <row r="465" customFormat="false" ht="15.75" hidden="false" customHeight="false" outlineLevel="0" collapsed="false">
      <c r="E465" s="193"/>
      <c r="J465" s="194"/>
      <c r="K465" s="194"/>
      <c r="L465" s="194"/>
      <c r="M465" s="195"/>
    </row>
    <row r="466" customFormat="false" ht="15.75" hidden="false" customHeight="false" outlineLevel="0" collapsed="false">
      <c r="E466" s="193"/>
      <c r="J466" s="194"/>
      <c r="K466" s="194"/>
      <c r="L466" s="194"/>
      <c r="M466" s="195"/>
    </row>
    <row r="467" customFormat="false" ht="15.75" hidden="false" customHeight="false" outlineLevel="0" collapsed="false">
      <c r="E467" s="193"/>
      <c r="J467" s="194"/>
      <c r="K467" s="194"/>
      <c r="L467" s="194"/>
      <c r="M467" s="195"/>
    </row>
    <row r="468" customFormat="false" ht="15.75" hidden="false" customHeight="false" outlineLevel="0" collapsed="false">
      <c r="E468" s="193"/>
      <c r="J468" s="194"/>
      <c r="K468" s="194"/>
      <c r="L468" s="194"/>
      <c r="M468" s="195"/>
    </row>
    <row r="469" customFormat="false" ht="15.75" hidden="false" customHeight="false" outlineLevel="0" collapsed="false">
      <c r="E469" s="193"/>
      <c r="J469" s="194"/>
      <c r="K469" s="194"/>
      <c r="L469" s="194"/>
      <c r="M469" s="195"/>
    </row>
    <row r="470" customFormat="false" ht="15.75" hidden="false" customHeight="false" outlineLevel="0" collapsed="false">
      <c r="E470" s="193"/>
      <c r="J470" s="194"/>
      <c r="K470" s="194"/>
      <c r="L470" s="194"/>
      <c r="M470" s="195"/>
    </row>
    <row r="471" customFormat="false" ht="15.75" hidden="false" customHeight="false" outlineLevel="0" collapsed="false">
      <c r="E471" s="193"/>
      <c r="J471" s="194"/>
      <c r="K471" s="194"/>
      <c r="L471" s="194"/>
      <c r="M471" s="195"/>
    </row>
    <row r="472" customFormat="false" ht="15.75" hidden="false" customHeight="false" outlineLevel="0" collapsed="false">
      <c r="E472" s="193"/>
      <c r="J472" s="194"/>
      <c r="K472" s="194"/>
      <c r="L472" s="194"/>
      <c r="M472" s="195"/>
    </row>
    <row r="473" customFormat="false" ht="15.75" hidden="false" customHeight="false" outlineLevel="0" collapsed="false">
      <c r="E473" s="193"/>
      <c r="J473" s="194"/>
      <c r="K473" s="194"/>
      <c r="L473" s="194"/>
      <c r="M473" s="195"/>
    </row>
    <row r="474" customFormat="false" ht="15.75" hidden="false" customHeight="false" outlineLevel="0" collapsed="false">
      <c r="E474" s="193"/>
      <c r="J474" s="194"/>
      <c r="K474" s="194"/>
      <c r="L474" s="194"/>
      <c r="M474" s="195"/>
    </row>
    <row r="475" customFormat="false" ht="15.75" hidden="false" customHeight="false" outlineLevel="0" collapsed="false">
      <c r="E475" s="193"/>
      <c r="J475" s="194"/>
      <c r="K475" s="194"/>
      <c r="L475" s="194"/>
      <c r="M475" s="195"/>
    </row>
    <row r="476" customFormat="false" ht="15.75" hidden="false" customHeight="false" outlineLevel="0" collapsed="false">
      <c r="E476" s="193"/>
      <c r="J476" s="194"/>
      <c r="K476" s="194"/>
      <c r="L476" s="194"/>
      <c r="M476" s="195"/>
    </row>
    <row r="477" customFormat="false" ht="15.75" hidden="false" customHeight="false" outlineLevel="0" collapsed="false">
      <c r="E477" s="193"/>
      <c r="J477" s="194"/>
      <c r="K477" s="194"/>
      <c r="L477" s="194"/>
      <c r="M477" s="195"/>
    </row>
    <row r="478" customFormat="false" ht="15.75" hidden="false" customHeight="false" outlineLevel="0" collapsed="false">
      <c r="E478" s="193"/>
      <c r="J478" s="194"/>
      <c r="K478" s="194"/>
      <c r="L478" s="194"/>
      <c r="M478" s="195"/>
    </row>
    <row r="479" customFormat="false" ht="15.75" hidden="false" customHeight="false" outlineLevel="0" collapsed="false">
      <c r="E479" s="193"/>
      <c r="J479" s="194"/>
      <c r="K479" s="194"/>
      <c r="L479" s="194"/>
      <c r="M479" s="195"/>
    </row>
    <row r="480" customFormat="false" ht="15.75" hidden="false" customHeight="false" outlineLevel="0" collapsed="false">
      <c r="E480" s="193"/>
      <c r="J480" s="194"/>
      <c r="K480" s="194"/>
      <c r="L480" s="194"/>
      <c r="M480" s="195"/>
    </row>
    <row r="481" customFormat="false" ht="15.75" hidden="false" customHeight="false" outlineLevel="0" collapsed="false">
      <c r="E481" s="193"/>
      <c r="J481" s="194"/>
      <c r="K481" s="194"/>
      <c r="L481" s="194"/>
      <c r="M481" s="195"/>
    </row>
    <row r="482" customFormat="false" ht="15.75" hidden="false" customHeight="false" outlineLevel="0" collapsed="false">
      <c r="E482" s="193"/>
      <c r="J482" s="194"/>
      <c r="K482" s="194"/>
      <c r="L482" s="194"/>
      <c r="M482" s="195"/>
    </row>
    <row r="483" customFormat="false" ht="15.75" hidden="false" customHeight="false" outlineLevel="0" collapsed="false">
      <c r="E483" s="193"/>
      <c r="J483" s="194"/>
      <c r="K483" s="194"/>
      <c r="L483" s="194"/>
      <c r="M483" s="195"/>
    </row>
    <row r="484" customFormat="false" ht="15.75" hidden="false" customHeight="false" outlineLevel="0" collapsed="false">
      <c r="E484" s="193"/>
      <c r="J484" s="194"/>
      <c r="K484" s="194"/>
      <c r="L484" s="194"/>
      <c r="M484" s="195"/>
    </row>
    <row r="485" customFormat="false" ht="15.75" hidden="false" customHeight="false" outlineLevel="0" collapsed="false">
      <c r="E485" s="193"/>
      <c r="J485" s="194"/>
      <c r="K485" s="194"/>
      <c r="L485" s="194"/>
      <c r="M485" s="195"/>
    </row>
    <row r="486" customFormat="false" ht="15.75" hidden="false" customHeight="false" outlineLevel="0" collapsed="false">
      <c r="E486" s="193"/>
      <c r="J486" s="194"/>
      <c r="K486" s="194"/>
      <c r="L486" s="194"/>
      <c r="M486" s="195"/>
    </row>
    <row r="487" customFormat="false" ht="15.75" hidden="false" customHeight="false" outlineLevel="0" collapsed="false">
      <c r="E487" s="193"/>
      <c r="J487" s="194"/>
      <c r="K487" s="194"/>
      <c r="L487" s="194"/>
      <c r="M487" s="195"/>
    </row>
    <row r="488" customFormat="false" ht="15.75" hidden="false" customHeight="false" outlineLevel="0" collapsed="false">
      <c r="E488" s="193"/>
      <c r="J488" s="194"/>
      <c r="K488" s="194"/>
      <c r="L488" s="194"/>
      <c r="M488" s="195"/>
    </row>
    <row r="489" customFormat="false" ht="15.75" hidden="false" customHeight="false" outlineLevel="0" collapsed="false">
      <c r="E489" s="193"/>
      <c r="J489" s="194"/>
      <c r="K489" s="194"/>
      <c r="L489" s="194"/>
      <c r="M489" s="195"/>
    </row>
    <row r="490" customFormat="false" ht="15.75" hidden="false" customHeight="false" outlineLevel="0" collapsed="false">
      <c r="E490" s="193"/>
      <c r="J490" s="194"/>
      <c r="K490" s="194"/>
      <c r="L490" s="194"/>
      <c r="M490" s="195"/>
    </row>
    <row r="491" customFormat="false" ht="15.75" hidden="false" customHeight="false" outlineLevel="0" collapsed="false">
      <c r="E491" s="193"/>
      <c r="J491" s="194"/>
      <c r="K491" s="194"/>
      <c r="L491" s="194"/>
      <c r="M491" s="195"/>
    </row>
    <row r="492" customFormat="false" ht="15.75" hidden="false" customHeight="false" outlineLevel="0" collapsed="false">
      <c r="E492" s="193"/>
      <c r="J492" s="194"/>
      <c r="K492" s="194"/>
      <c r="L492" s="194"/>
      <c r="M492" s="195"/>
    </row>
    <row r="493" customFormat="false" ht="15.75" hidden="false" customHeight="false" outlineLevel="0" collapsed="false">
      <c r="E493" s="193"/>
      <c r="J493" s="194"/>
      <c r="K493" s="194"/>
      <c r="L493" s="194"/>
      <c r="M493" s="195"/>
    </row>
    <row r="494" customFormat="false" ht="15.75" hidden="false" customHeight="false" outlineLevel="0" collapsed="false">
      <c r="E494" s="193"/>
      <c r="J494" s="194"/>
      <c r="K494" s="194"/>
      <c r="L494" s="194"/>
      <c r="M494" s="195"/>
    </row>
    <row r="495" customFormat="false" ht="15.75" hidden="false" customHeight="false" outlineLevel="0" collapsed="false">
      <c r="E495" s="193"/>
      <c r="J495" s="194"/>
      <c r="K495" s="194"/>
      <c r="L495" s="194"/>
      <c r="M495" s="195"/>
    </row>
    <row r="496" customFormat="false" ht="15.75" hidden="false" customHeight="false" outlineLevel="0" collapsed="false">
      <c r="E496" s="193"/>
      <c r="J496" s="194"/>
      <c r="K496" s="194"/>
      <c r="L496" s="194"/>
      <c r="M496" s="195"/>
    </row>
    <row r="497" customFormat="false" ht="15.75" hidden="false" customHeight="false" outlineLevel="0" collapsed="false">
      <c r="E497" s="193"/>
      <c r="J497" s="194"/>
      <c r="K497" s="194"/>
      <c r="L497" s="194"/>
      <c r="M497" s="195"/>
    </row>
    <row r="498" customFormat="false" ht="15.75" hidden="false" customHeight="false" outlineLevel="0" collapsed="false">
      <c r="E498" s="193"/>
      <c r="J498" s="194"/>
      <c r="K498" s="194"/>
      <c r="L498" s="194"/>
      <c r="M498" s="195"/>
    </row>
    <row r="499" customFormat="false" ht="15.75" hidden="false" customHeight="false" outlineLevel="0" collapsed="false">
      <c r="E499" s="193"/>
      <c r="J499" s="194"/>
      <c r="K499" s="194"/>
      <c r="L499" s="194"/>
      <c r="M499" s="195"/>
    </row>
    <row r="500" customFormat="false" ht="15.75" hidden="false" customHeight="false" outlineLevel="0" collapsed="false">
      <c r="E500" s="193"/>
      <c r="J500" s="194"/>
      <c r="K500" s="194"/>
      <c r="L500" s="194"/>
      <c r="M500" s="195"/>
    </row>
    <row r="501" customFormat="false" ht="15.75" hidden="false" customHeight="false" outlineLevel="0" collapsed="false">
      <c r="E501" s="193"/>
      <c r="J501" s="194"/>
      <c r="K501" s="194"/>
      <c r="L501" s="194"/>
      <c r="M501" s="195"/>
    </row>
    <row r="502" customFormat="false" ht="15.75" hidden="false" customHeight="false" outlineLevel="0" collapsed="false">
      <c r="E502" s="193"/>
      <c r="J502" s="194"/>
      <c r="K502" s="194"/>
      <c r="L502" s="194"/>
      <c r="M502" s="195"/>
    </row>
    <row r="503" customFormat="false" ht="15.75" hidden="false" customHeight="false" outlineLevel="0" collapsed="false">
      <c r="E503" s="193"/>
      <c r="J503" s="194"/>
      <c r="K503" s="194"/>
      <c r="L503" s="194"/>
      <c r="M503" s="195"/>
    </row>
    <row r="504" customFormat="false" ht="15.75" hidden="false" customHeight="false" outlineLevel="0" collapsed="false">
      <c r="E504" s="193"/>
      <c r="J504" s="194"/>
      <c r="K504" s="194"/>
      <c r="L504" s="194"/>
      <c r="M504" s="195"/>
    </row>
    <row r="505" customFormat="false" ht="15.75" hidden="false" customHeight="false" outlineLevel="0" collapsed="false">
      <c r="E505" s="193"/>
      <c r="J505" s="194"/>
      <c r="K505" s="194"/>
      <c r="L505" s="194"/>
      <c r="M505" s="195"/>
    </row>
    <row r="506" customFormat="false" ht="15.75" hidden="false" customHeight="false" outlineLevel="0" collapsed="false">
      <c r="E506" s="193"/>
      <c r="J506" s="194"/>
      <c r="K506" s="194"/>
      <c r="L506" s="194"/>
      <c r="M506" s="195"/>
    </row>
    <row r="507" customFormat="false" ht="15.75" hidden="false" customHeight="false" outlineLevel="0" collapsed="false">
      <c r="E507" s="193"/>
      <c r="J507" s="194"/>
      <c r="K507" s="194"/>
      <c r="L507" s="194"/>
      <c r="M507" s="195"/>
    </row>
    <row r="508" customFormat="false" ht="15.75" hidden="false" customHeight="false" outlineLevel="0" collapsed="false">
      <c r="E508" s="193"/>
      <c r="J508" s="194"/>
      <c r="K508" s="194"/>
      <c r="L508" s="194"/>
      <c r="M508" s="195"/>
    </row>
    <row r="509" customFormat="false" ht="15.75" hidden="false" customHeight="false" outlineLevel="0" collapsed="false">
      <c r="E509" s="193"/>
      <c r="J509" s="194"/>
      <c r="K509" s="194"/>
      <c r="L509" s="194"/>
      <c r="M509" s="195"/>
    </row>
    <row r="510" customFormat="false" ht="15.75" hidden="false" customHeight="false" outlineLevel="0" collapsed="false">
      <c r="E510" s="193"/>
      <c r="J510" s="194"/>
      <c r="K510" s="194"/>
      <c r="L510" s="194"/>
      <c r="M510" s="195"/>
    </row>
    <row r="511" customFormat="false" ht="15.75" hidden="false" customHeight="false" outlineLevel="0" collapsed="false">
      <c r="E511" s="193"/>
      <c r="J511" s="194"/>
      <c r="K511" s="194"/>
      <c r="L511" s="194"/>
      <c r="M511" s="195"/>
    </row>
    <row r="512" customFormat="false" ht="15.75" hidden="false" customHeight="false" outlineLevel="0" collapsed="false">
      <c r="E512" s="193"/>
      <c r="J512" s="194"/>
      <c r="K512" s="194"/>
      <c r="L512" s="194"/>
      <c r="M512" s="195"/>
    </row>
    <row r="513" customFormat="false" ht="15.75" hidden="false" customHeight="false" outlineLevel="0" collapsed="false">
      <c r="E513" s="193"/>
      <c r="J513" s="194"/>
      <c r="K513" s="194"/>
      <c r="L513" s="194"/>
      <c r="M513" s="195"/>
    </row>
    <row r="514" customFormat="false" ht="15.75" hidden="false" customHeight="false" outlineLevel="0" collapsed="false">
      <c r="E514" s="193"/>
      <c r="J514" s="194"/>
      <c r="K514" s="194"/>
      <c r="L514" s="194"/>
      <c r="M514" s="195"/>
    </row>
    <row r="515" customFormat="false" ht="15.75" hidden="false" customHeight="false" outlineLevel="0" collapsed="false">
      <c r="E515" s="193"/>
      <c r="J515" s="194"/>
      <c r="K515" s="194"/>
      <c r="L515" s="194"/>
      <c r="M515" s="195"/>
    </row>
    <row r="516" customFormat="false" ht="15.75" hidden="false" customHeight="false" outlineLevel="0" collapsed="false">
      <c r="E516" s="193"/>
      <c r="J516" s="194"/>
      <c r="K516" s="194"/>
      <c r="L516" s="194"/>
      <c r="M516" s="195"/>
    </row>
    <row r="517" customFormat="false" ht="15.75" hidden="false" customHeight="false" outlineLevel="0" collapsed="false">
      <c r="E517" s="193"/>
      <c r="J517" s="194"/>
      <c r="K517" s="194"/>
      <c r="L517" s="194"/>
      <c r="M517" s="195"/>
    </row>
    <row r="518" customFormat="false" ht="15.75" hidden="false" customHeight="false" outlineLevel="0" collapsed="false">
      <c r="E518" s="193"/>
      <c r="J518" s="194"/>
      <c r="K518" s="194"/>
      <c r="L518" s="194"/>
      <c r="M518" s="195"/>
    </row>
    <row r="519" customFormat="false" ht="15.75" hidden="false" customHeight="false" outlineLevel="0" collapsed="false">
      <c r="E519" s="193"/>
      <c r="J519" s="194"/>
      <c r="K519" s="194"/>
      <c r="L519" s="194"/>
      <c r="M519" s="195"/>
    </row>
    <row r="520" customFormat="false" ht="15.75" hidden="false" customHeight="false" outlineLevel="0" collapsed="false">
      <c r="E520" s="193"/>
      <c r="J520" s="194"/>
      <c r="K520" s="194"/>
      <c r="L520" s="194"/>
      <c r="M520" s="195"/>
    </row>
    <row r="521" customFormat="false" ht="15.75" hidden="false" customHeight="false" outlineLevel="0" collapsed="false">
      <c r="E521" s="193"/>
      <c r="J521" s="194"/>
      <c r="K521" s="194"/>
      <c r="L521" s="194"/>
      <c r="M521" s="195"/>
    </row>
    <row r="522" customFormat="false" ht="15.75" hidden="false" customHeight="false" outlineLevel="0" collapsed="false">
      <c r="E522" s="193"/>
      <c r="J522" s="194"/>
      <c r="K522" s="194"/>
      <c r="L522" s="194"/>
      <c r="M522" s="195"/>
    </row>
    <row r="523" customFormat="false" ht="15.75" hidden="false" customHeight="false" outlineLevel="0" collapsed="false">
      <c r="E523" s="193"/>
      <c r="J523" s="194"/>
      <c r="K523" s="194"/>
      <c r="L523" s="194"/>
      <c r="M523" s="195"/>
    </row>
    <row r="524" customFormat="false" ht="15.75" hidden="false" customHeight="false" outlineLevel="0" collapsed="false">
      <c r="E524" s="193"/>
      <c r="J524" s="194"/>
      <c r="K524" s="194"/>
      <c r="L524" s="194"/>
      <c r="M524" s="195"/>
    </row>
    <row r="525" customFormat="false" ht="15.75" hidden="false" customHeight="false" outlineLevel="0" collapsed="false">
      <c r="E525" s="193"/>
      <c r="J525" s="194"/>
      <c r="K525" s="194"/>
      <c r="L525" s="194"/>
      <c r="M525" s="195"/>
    </row>
    <row r="526" customFormat="false" ht="15.75" hidden="false" customHeight="false" outlineLevel="0" collapsed="false">
      <c r="E526" s="193"/>
      <c r="J526" s="194"/>
      <c r="K526" s="194"/>
      <c r="L526" s="194"/>
      <c r="M526" s="195"/>
    </row>
    <row r="527" customFormat="false" ht="15.75" hidden="false" customHeight="false" outlineLevel="0" collapsed="false">
      <c r="E527" s="193"/>
      <c r="J527" s="194"/>
      <c r="K527" s="194"/>
      <c r="L527" s="194"/>
      <c r="M527" s="195"/>
    </row>
    <row r="528" customFormat="false" ht="15.75" hidden="false" customHeight="false" outlineLevel="0" collapsed="false">
      <c r="E528" s="193"/>
      <c r="J528" s="194"/>
      <c r="K528" s="194"/>
      <c r="L528" s="194"/>
      <c r="M528" s="195"/>
    </row>
    <row r="529" customFormat="false" ht="15.75" hidden="false" customHeight="false" outlineLevel="0" collapsed="false">
      <c r="E529" s="193"/>
      <c r="J529" s="194"/>
      <c r="K529" s="194"/>
      <c r="L529" s="194"/>
      <c r="M529" s="195"/>
    </row>
    <row r="530" customFormat="false" ht="15.75" hidden="false" customHeight="false" outlineLevel="0" collapsed="false">
      <c r="E530" s="193"/>
      <c r="J530" s="194"/>
      <c r="K530" s="194"/>
      <c r="L530" s="194"/>
      <c r="M530" s="195"/>
    </row>
    <row r="531" customFormat="false" ht="15.75" hidden="false" customHeight="false" outlineLevel="0" collapsed="false">
      <c r="E531" s="193"/>
      <c r="J531" s="194"/>
      <c r="K531" s="194"/>
      <c r="L531" s="194"/>
      <c r="M531" s="195"/>
    </row>
    <row r="532" customFormat="false" ht="15.75" hidden="false" customHeight="false" outlineLevel="0" collapsed="false">
      <c r="E532" s="193"/>
      <c r="J532" s="194"/>
      <c r="K532" s="194"/>
      <c r="L532" s="194"/>
      <c r="M532" s="195"/>
    </row>
    <row r="533" customFormat="false" ht="15.75" hidden="false" customHeight="false" outlineLevel="0" collapsed="false">
      <c r="E533" s="193"/>
      <c r="J533" s="194"/>
      <c r="K533" s="194"/>
      <c r="L533" s="194"/>
      <c r="M533" s="195"/>
    </row>
    <row r="534" customFormat="false" ht="15.75" hidden="false" customHeight="false" outlineLevel="0" collapsed="false">
      <c r="E534" s="193"/>
      <c r="J534" s="194"/>
      <c r="K534" s="194"/>
      <c r="L534" s="194"/>
      <c r="M534" s="195"/>
    </row>
    <row r="535" customFormat="false" ht="15.75" hidden="false" customHeight="false" outlineLevel="0" collapsed="false">
      <c r="E535" s="193"/>
      <c r="J535" s="194"/>
      <c r="K535" s="194"/>
      <c r="L535" s="194"/>
      <c r="M535" s="195"/>
    </row>
    <row r="536" customFormat="false" ht="15.75" hidden="false" customHeight="false" outlineLevel="0" collapsed="false">
      <c r="E536" s="193"/>
      <c r="J536" s="194"/>
      <c r="K536" s="194"/>
      <c r="L536" s="194"/>
      <c r="M536" s="195"/>
    </row>
    <row r="537" customFormat="false" ht="15.75" hidden="false" customHeight="false" outlineLevel="0" collapsed="false">
      <c r="E537" s="193"/>
      <c r="J537" s="194"/>
      <c r="K537" s="194"/>
      <c r="L537" s="194"/>
      <c r="M537" s="195"/>
    </row>
    <row r="538" customFormat="false" ht="15.75" hidden="false" customHeight="false" outlineLevel="0" collapsed="false">
      <c r="E538" s="193"/>
      <c r="J538" s="194"/>
      <c r="K538" s="194"/>
      <c r="L538" s="194"/>
      <c r="M538" s="195"/>
    </row>
    <row r="539" customFormat="false" ht="15.75" hidden="false" customHeight="false" outlineLevel="0" collapsed="false">
      <c r="E539" s="193"/>
      <c r="J539" s="194"/>
      <c r="K539" s="194"/>
      <c r="L539" s="194"/>
      <c r="M539" s="195"/>
    </row>
    <row r="540" customFormat="false" ht="15.75" hidden="false" customHeight="false" outlineLevel="0" collapsed="false">
      <c r="E540" s="193"/>
      <c r="J540" s="194"/>
      <c r="K540" s="194"/>
      <c r="L540" s="194"/>
      <c r="M540" s="195"/>
    </row>
    <row r="541" customFormat="false" ht="15.75" hidden="false" customHeight="false" outlineLevel="0" collapsed="false">
      <c r="E541" s="193"/>
      <c r="J541" s="194"/>
      <c r="K541" s="194"/>
      <c r="L541" s="194"/>
      <c r="M541" s="195"/>
    </row>
    <row r="542" customFormat="false" ht="15.75" hidden="false" customHeight="false" outlineLevel="0" collapsed="false">
      <c r="E542" s="193"/>
      <c r="J542" s="194"/>
      <c r="K542" s="194"/>
      <c r="L542" s="194"/>
      <c r="M542" s="195"/>
    </row>
    <row r="543" customFormat="false" ht="15.75" hidden="false" customHeight="false" outlineLevel="0" collapsed="false">
      <c r="E543" s="193"/>
      <c r="J543" s="194"/>
      <c r="K543" s="194"/>
      <c r="L543" s="194"/>
      <c r="M543" s="195"/>
    </row>
    <row r="544" customFormat="false" ht="15.75" hidden="false" customHeight="false" outlineLevel="0" collapsed="false">
      <c r="E544" s="193"/>
      <c r="J544" s="194"/>
      <c r="K544" s="194"/>
      <c r="L544" s="194"/>
      <c r="M544" s="195"/>
    </row>
    <row r="545" customFormat="false" ht="15.75" hidden="false" customHeight="false" outlineLevel="0" collapsed="false">
      <c r="E545" s="193"/>
      <c r="J545" s="194"/>
      <c r="K545" s="194"/>
      <c r="L545" s="194"/>
      <c r="M545" s="195"/>
    </row>
    <row r="546" customFormat="false" ht="15.75" hidden="false" customHeight="false" outlineLevel="0" collapsed="false">
      <c r="E546" s="193"/>
      <c r="J546" s="194"/>
      <c r="K546" s="194"/>
      <c r="L546" s="194"/>
      <c r="M546" s="195"/>
    </row>
    <row r="547" customFormat="false" ht="15.75" hidden="false" customHeight="false" outlineLevel="0" collapsed="false">
      <c r="E547" s="193"/>
      <c r="J547" s="194"/>
      <c r="K547" s="194"/>
      <c r="L547" s="194"/>
      <c r="M547" s="195"/>
    </row>
    <row r="548" customFormat="false" ht="15.75" hidden="false" customHeight="false" outlineLevel="0" collapsed="false">
      <c r="E548" s="193"/>
      <c r="J548" s="194"/>
      <c r="K548" s="194"/>
      <c r="L548" s="194"/>
      <c r="M548" s="195"/>
    </row>
    <row r="549" customFormat="false" ht="15.75" hidden="false" customHeight="false" outlineLevel="0" collapsed="false">
      <c r="E549" s="193"/>
      <c r="J549" s="194"/>
      <c r="K549" s="194"/>
      <c r="L549" s="194"/>
      <c r="M549" s="195"/>
    </row>
    <row r="550" customFormat="false" ht="15.75" hidden="false" customHeight="false" outlineLevel="0" collapsed="false">
      <c r="E550" s="193"/>
      <c r="J550" s="194"/>
      <c r="K550" s="194"/>
      <c r="L550" s="194"/>
      <c r="M550" s="195"/>
    </row>
    <row r="551" customFormat="false" ht="15.75" hidden="false" customHeight="false" outlineLevel="0" collapsed="false">
      <c r="E551" s="193"/>
      <c r="J551" s="194"/>
      <c r="K551" s="194"/>
      <c r="L551" s="194"/>
      <c r="M551" s="195"/>
    </row>
    <row r="552" customFormat="false" ht="15.75" hidden="false" customHeight="false" outlineLevel="0" collapsed="false">
      <c r="E552" s="193"/>
      <c r="J552" s="194"/>
      <c r="K552" s="194"/>
      <c r="L552" s="194"/>
      <c r="M552" s="195"/>
    </row>
    <row r="553" customFormat="false" ht="15.75" hidden="false" customHeight="false" outlineLevel="0" collapsed="false">
      <c r="E553" s="193"/>
      <c r="J553" s="194"/>
      <c r="K553" s="194"/>
      <c r="L553" s="194"/>
      <c r="M553" s="195"/>
    </row>
    <row r="554" customFormat="false" ht="15.75" hidden="false" customHeight="false" outlineLevel="0" collapsed="false">
      <c r="E554" s="193"/>
      <c r="J554" s="194"/>
      <c r="K554" s="194"/>
      <c r="L554" s="194"/>
      <c r="M554" s="195"/>
    </row>
    <row r="555" customFormat="false" ht="15.75" hidden="false" customHeight="false" outlineLevel="0" collapsed="false">
      <c r="E555" s="193"/>
      <c r="J555" s="194"/>
      <c r="K555" s="194"/>
      <c r="L555" s="194"/>
      <c r="M555" s="195"/>
    </row>
    <row r="556" customFormat="false" ht="15.75" hidden="false" customHeight="false" outlineLevel="0" collapsed="false">
      <c r="E556" s="193"/>
      <c r="J556" s="194"/>
      <c r="K556" s="194"/>
      <c r="L556" s="194"/>
      <c r="M556" s="195"/>
    </row>
    <row r="557" customFormat="false" ht="15.75" hidden="false" customHeight="false" outlineLevel="0" collapsed="false">
      <c r="E557" s="193"/>
      <c r="J557" s="194"/>
      <c r="K557" s="194"/>
      <c r="L557" s="194"/>
      <c r="M557" s="195"/>
    </row>
    <row r="558" customFormat="false" ht="15.75" hidden="false" customHeight="false" outlineLevel="0" collapsed="false">
      <c r="E558" s="193"/>
      <c r="J558" s="194"/>
      <c r="K558" s="194"/>
      <c r="L558" s="194"/>
      <c r="M558" s="195"/>
    </row>
    <row r="559" customFormat="false" ht="15.75" hidden="false" customHeight="false" outlineLevel="0" collapsed="false">
      <c r="E559" s="193"/>
      <c r="J559" s="194"/>
      <c r="K559" s="194"/>
      <c r="L559" s="194"/>
      <c r="M559" s="195"/>
    </row>
    <row r="560" customFormat="false" ht="15.75" hidden="false" customHeight="false" outlineLevel="0" collapsed="false">
      <c r="E560" s="193"/>
      <c r="J560" s="194"/>
      <c r="K560" s="194"/>
      <c r="L560" s="194"/>
      <c r="M560" s="195"/>
    </row>
    <row r="561" customFormat="false" ht="15.75" hidden="false" customHeight="false" outlineLevel="0" collapsed="false">
      <c r="E561" s="193"/>
      <c r="J561" s="194"/>
      <c r="K561" s="194"/>
      <c r="L561" s="194"/>
      <c r="M561" s="195"/>
    </row>
    <row r="562" customFormat="false" ht="15.75" hidden="false" customHeight="false" outlineLevel="0" collapsed="false">
      <c r="E562" s="193"/>
      <c r="J562" s="194"/>
      <c r="K562" s="194"/>
      <c r="L562" s="194"/>
      <c r="M562" s="195"/>
    </row>
    <row r="563" customFormat="false" ht="15.75" hidden="false" customHeight="false" outlineLevel="0" collapsed="false">
      <c r="E563" s="193"/>
      <c r="J563" s="194"/>
      <c r="K563" s="194"/>
      <c r="L563" s="194"/>
      <c r="M563" s="195"/>
    </row>
    <row r="564" customFormat="false" ht="15.75" hidden="false" customHeight="false" outlineLevel="0" collapsed="false">
      <c r="E564" s="193"/>
      <c r="J564" s="194"/>
      <c r="K564" s="194"/>
      <c r="L564" s="194"/>
      <c r="M564" s="195"/>
    </row>
    <row r="565" customFormat="false" ht="15.75" hidden="false" customHeight="false" outlineLevel="0" collapsed="false">
      <c r="E565" s="193"/>
      <c r="J565" s="194"/>
      <c r="K565" s="194"/>
      <c r="L565" s="194"/>
      <c r="M565" s="195"/>
    </row>
    <row r="566" customFormat="false" ht="15.75" hidden="false" customHeight="false" outlineLevel="0" collapsed="false">
      <c r="E566" s="193"/>
      <c r="J566" s="194"/>
      <c r="K566" s="194"/>
      <c r="L566" s="194"/>
      <c r="M566" s="195"/>
    </row>
    <row r="567" customFormat="false" ht="15.75" hidden="false" customHeight="false" outlineLevel="0" collapsed="false">
      <c r="E567" s="193"/>
      <c r="J567" s="194"/>
      <c r="K567" s="194"/>
      <c r="L567" s="194"/>
      <c r="M567" s="195"/>
    </row>
    <row r="568" customFormat="false" ht="15.75" hidden="false" customHeight="false" outlineLevel="0" collapsed="false">
      <c r="E568" s="193"/>
      <c r="J568" s="194"/>
      <c r="K568" s="194"/>
      <c r="L568" s="194"/>
      <c r="M568" s="195"/>
    </row>
    <row r="569" customFormat="false" ht="15.75" hidden="false" customHeight="false" outlineLevel="0" collapsed="false">
      <c r="E569" s="193"/>
      <c r="J569" s="194"/>
      <c r="K569" s="194"/>
      <c r="L569" s="194"/>
      <c r="M569" s="195"/>
    </row>
    <row r="570" customFormat="false" ht="15.75" hidden="false" customHeight="false" outlineLevel="0" collapsed="false">
      <c r="E570" s="193"/>
      <c r="J570" s="194"/>
      <c r="K570" s="194"/>
      <c r="L570" s="194"/>
      <c r="M570" s="195"/>
    </row>
    <row r="571" customFormat="false" ht="15.75" hidden="false" customHeight="false" outlineLevel="0" collapsed="false">
      <c r="E571" s="193"/>
      <c r="J571" s="194"/>
      <c r="K571" s="194"/>
      <c r="L571" s="194"/>
      <c r="M571" s="195"/>
    </row>
    <row r="572" customFormat="false" ht="15.75" hidden="false" customHeight="false" outlineLevel="0" collapsed="false">
      <c r="E572" s="193"/>
      <c r="J572" s="194"/>
      <c r="K572" s="194"/>
      <c r="L572" s="194"/>
      <c r="M572" s="195"/>
    </row>
    <row r="573" customFormat="false" ht="15.75" hidden="false" customHeight="false" outlineLevel="0" collapsed="false">
      <c r="E573" s="193"/>
      <c r="J573" s="194"/>
      <c r="K573" s="194"/>
      <c r="L573" s="194"/>
      <c r="M573" s="195"/>
    </row>
    <row r="574" customFormat="false" ht="15.75" hidden="false" customHeight="false" outlineLevel="0" collapsed="false">
      <c r="E574" s="193"/>
      <c r="J574" s="194"/>
      <c r="K574" s="194"/>
      <c r="L574" s="194"/>
      <c r="M574" s="195"/>
    </row>
    <row r="575" customFormat="false" ht="15.75" hidden="false" customHeight="false" outlineLevel="0" collapsed="false">
      <c r="E575" s="193"/>
      <c r="J575" s="194"/>
      <c r="K575" s="194"/>
      <c r="L575" s="194"/>
      <c r="M575" s="195"/>
    </row>
    <row r="576" customFormat="false" ht="15.75" hidden="false" customHeight="false" outlineLevel="0" collapsed="false">
      <c r="E576" s="193"/>
      <c r="J576" s="194"/>
      <c r="K576" s="194"/>
      <c r="L576" s="194"/>
      <c r="M576" s="195"/>
    </row>
    <row r="577" customFormat="false" ht="15.75" hidden="false" customHeight="false" outlineLevel="0" collapsed="false">
      <c r="E577" s="193"/>
      <c r="J577" s="194"/>
      <c r="K577" s="194"/>
      <c r="L577" s="194"/>
      <c r="M577" s="195"/>
    </row>
    <row r="578" customFormat="false" ht="15.75" hidden="false" customHeight="false" outlineLevel="0" collapsed="false">
      <c r="E578" s="193"/>
      <c r="J578" s="194"/>
      <c r="K578" s="194"/>
      <c r="L578" s="194"/>
      <c r="M578" s="195"/>
    </row>
    <row r="579" customFormat="false" ht="15.75" hidden="false" customHeight="false" outlineLevel="0" collapsed="false">
      <c r="E579" s="193"/>
      <c r="J579" s="194"/>
      <c r="K579" s="194"/>
      <c r="L579" s="194"/>
      <c r="M579" s="195"/>
    </row>
    <row r="580" customFormat="false" ht="15.75" hidden="false" customHeight="false" outlineLevel="0" collapsed="false">
      <c r="E580" s="193"/>
      <c r="J580" s="194"/>
      <c r="K580" s="194"/>
      <c r="L580" s="194"/>
      <c r="M580" s="195"/>
    </row>
    <row r="581" customFormat="false" ht="15.75" hidden="false" customHeight="false" outlineLevel="0" collapsed="false">
      <c r="E581" s="193"/>
      <c r="J581" s="194"/>
      <c r="K581" s="194"/>
      <c r="L581" s="194"/>
      <c r="M581" s="195"/>
    </row>
    <row r="582" customFormat="false" ht="15.75" hidden="false" customHeight="false" outlineLevel="0" collapsed="false">
      <c r="E582" s="193"/>
      <c r="J582" s="194"/>
      <c r="K582" s="194"/>
      <c r="L582" s="194"/>
      <c r="M582" s="195"/>
    </row>
    <row r="583" customFormat="false" ht="15.75" hidden="false" customHeight="false" outlineLevel="0" collapsed="false">
      <c r="E583" s="193"/>
      <c r="J583" s="194"/>
      <c r="K583" s="194"/>
      <c r="L583" s="194"/>
      <c r="M583" s="195"/>
    </row>
    <row r="584" customFormat="false" ht="15.75" hidden="false" customHeight="false" outlineLevel="0" collapsed="false">
      <c r="E584" s="193"/>
      <c r="J584" s="194"/>
      <c r="K584" s="194"/>
      <c r="L584" s="194"/>
      <c r="M584" s="195"/>
    </row>
    <row r="585" customFormat="false" ht="15.75" hidden="false" customHeight="false" outlineLevel="0" collapsed="false">
      <c r="E585" s="193"/>
      <c r="J585" s="194"/>
      <c r="K585" s="194"/>
      <c r="L585" s="194"/>
      <c r="M585" s="195"/>
    </row>
    <row r="586" customFormat="false" ht="15.75" hidden="false" customHeight="false" outlineLevel="0" collapsed="false">
      <c r="E586" s="193"/>
      <c r="J586" s="194"/>
      <c r="K586" s="194"/>
      <c r="L586" s="194"/>
      <c r="M586" s="195"/>
    </row>
    <row r="587" customFormat="false" ht="15.75" hidden="false" customHeight="false" outlineLevel="0" collapsed="false">
      <c r="E587" s="193"/>
      <c r="J587" s="194"/>
      <c r="K587" s="194"/>
      <c r="L587" s="194"/>
      <c r="M587" s="195"/>
    </row>
    <row r="588" customFormat="false" ht="15.75" hidden="false" customHeight="false" outlineLevel="0" collapsed="false">
      <c r="E588" s="193"/>
      <c r="J588" s="194"/>
      <c r="K588" s="194"/>
      <c r="L588" s="194"/>
      <c r="M588" s="195"/>
    </row>
    <row r="589" customFormat="false" ht="15.75" hidden="false" customHeight="false" outlineLevel="0" collapsed="false">
      <c r="E589" s="193"/>
      <c r="J589" s="194"/>
      <c r="K589" s="194"/>
      <c r="L589" s="194"/>
      <c r="M589" s="195"/>
    </row>
    <row r="590" customFormat="false" ht="15.75" hidden="false" customHeight="false" outlineLevel="0" collapsed="false">
      <c r="E590" s="193"/>
      <c r="J590" s="194"/>
      <c r="K590" s="194"/>
      <c r="L590" s="194"/>
      <c r="M590" s="195"/>
    </row>
    <row r="591" customFormat="false" ht="15.75" hidden="false" customHeight="false" outlineLevel="0" collapsed="false">
      <c r="E591" s="193"/>
      <c r="J591" s="194"/>
      <c r="K591" s="194"/>
      <c r="L591" s="194"/>
      <c r="M591" s="195"/>
    </row>
    <row r="592" customFormat="false" ht="15.75" hidden="false" customHeight="false" outlineLevel="0" collapsed="false">
      <c r="E592" s="193"/>
      <c r="J592" s="194"/>
      <c r="K592" s="194"/>
      <c r="L592" s="194"/>
      <c r="M592" s="195"/>
    </row>
    <row r="593" customFormat="false" ht="15.75" hidden="false" customHeight="false" outlineLevel="0" collapsed="false">
      <c r="E593" s="193"/>
      <c r="J593" s="194"/>
      <c r="K593" s="194"/>
      <c r="L593" s="194"/>
      <c r="M593" s="195"/>
    </row>
    <row r="594" customFormat="false" ht="15.75" hidden="false" customHeight="false" outlineLevel="0" collapsed="false">
      <c r="E594" s="193"/>
      <c r="J594" s="194"/>
      <c r="K594" s="194"/>
      <c r="L594" s="194"/>
      <c r="M594" s="195"/>
    </row>
    <row r="595" customFormat="false" ht="15.75" hidden="false" customHeight="false" outlineLevel="0" collapsed="false">
      <c r="E595" s="193"/>
      <c r="J595" s="194"/>
      <c r="K595" s="194"/>
      <c r="L595" s="194"/>
      <c r="M595" s="195"/>
    </row>
    <row r="596" customFormat="false" ht="15.75" hidden="false" customHeight="false" outlineLevel="0" collapsed="false">
      <c r="E596" s="193"/>
      <c r="J596" s="194"/>
      <c r="K596" s="194"/>
      <c r="L596" s="194"/>
      <c r="M596" s="195"/>
    </row>
    <row r="597" customFormat="false" ht="15.75" hidden="false" customHeight="false" outlineLevel="0" collapsed="false">
      <c r="E597" s="193"/>
      <c r="J597" s="194"/>
      <c r="K597" s="194"/>
      <c r="L597" s="194"/>
      <c r="M597" s="195"/>
    </row>
    <row r="598" customFormat="false" ht="15.75" hidden="false" customHeight="false" outlineLevel="0" collapsed="false">
      <c r="E598" s="193"/>
      <c r="J598" s="194"/>
      <c r="K598" s="194"/>
      <c r="L598" s="194"/>
      <c r="M598" s="195"/>
    </row>
    <row r="599" customFormat="false" ht="15.75" hidden="false" customHeight="false" outlineLevel="0" collapsed="false">
      <c r="E599" s="193"/>
      <c r="J599" s="194"/>
      <c r="K599" s="194"/>
      <c r="L599" s="194"/>
      <c r="M599" s="195"/>
    </row>
    <row r="600" customFormat="false" ht="15.75" hidden="false" customHeight="false" outlineLevel="0" collapsed="false">
      <c r="E600" s="193"/>
      <c r="J600" s="194"/>
      <c r="K600" s="194"/>
      <c r="L600" s="194"/>
      <c r="M600" s="195"/>
    </row>
    <row r="601" customFormat="false" ht="15.75" hidden="false" customHeight="false" outlineLevel="0" collapsed="false">
      <c r="E601" s="193"/>
      <c r="J601" s="194"/>
      <c r="K601" s="194"/>
      <c r="L601" s="194"/>
      <c r="M601" s="195"/>
    </row>
    <row r="602" customFormat="false" ht="15.75" hidden="false" customHeight="false" outlineLevel="0" collapsed="false">
      <c r="E602" s="193"/>
      <c r="J602" s="194"/>
      <c r="K602" s="194"/>
      <c r="L602" s="194"/>
      <c r="M602" s="195"/>
    </row>
    <row r="603" customFormat="false" ht="15.75" hidden="false" customHeight="false" outlineLevel="0" collapsed="false">
      <c r="E603" s="193"/>
      <c r="J603" s="194"/>
      <c r="K603" s="194"/>
      <c r="L603" s="194"/>
      <c r="M603" s="195"/>
    </row>
    <row r="604" customFormat="false" ht="15.75" hidden="false" customHeight="false" outlineLevel="0" collapsed="false">
      <c r="E604" s="193"/>
      <c r="J604" s="194"/>
      <c r="K604" s="194"/>
      <c r="L604" s="194"/>
      <c r="M604" s="195"/>
    </row>
    <row r="605" customFormat="false" ht="15.75" hidden="false" customHeight="false" outlineLevel="0" collapsed="false">
      <c r="E605" s="193"/>
      <c r="J605" s="194"/>
      <c r="K605" s="194"/>
      <c r="L605" s="194"/>
      <c r="M605" s="195"/>
    </row>
    <row r="606" customFormat="false" ht="15.75" hidden="false" customHeight="false" outlineLevel="0" collapsed="false">
      <c r="E606" s="193"/>
      <c r="J606" s="194"/>
      <c r="K606" s="194"/>
      <c r="L606" s="194"/>
      <c r="M606" s="195"/>
    </row>
    <row r="607" customFormat="false" ht="15.75" hidden="false" customHeight="false" outlineLevel="0" collapsed="false">
      <c r="E607" s="193"/>
      <c r="J607" s="194"/>
      <c r="K607" s="194"/>
      <c r="L607" s="194"/>
      <c r="M607" s="195"/>
    </row>
    <row r="608" customFormat="false" ht="15.75" hidden="false" customHeight="false" outlineLevel="0" collapsed="false">
      <c r="E608" s="193"/>
      <c r="J608" s="194"/>
      <c r="K608" s="194"/>
      <c r="L608" s="194"/>
      <c r="M608" s="195"/>
    </row>
    <row r="609" customFormat="false" ht="15.75" hidden="false" customHeight="false" outlineLevel="0" collapsed="false">
      <c r="E609" s="193"/>
      <c r="J609" s="194"/>
      <c r="K609" s="194"/>
      <c r="L609" s="194"/>
      <c r="M609" s="195"/>
    </row>
    <row r="610" customFormat="false" ht="15.75" hidden="false" customHeight="false" outlineLevel="0" collapsed="false">
      <c r="E610" s="193"/>
      <c r="J610" s="194"/>
      <c r="K610" s="194"/>
      <c r="L610" s="194"/>
      <c r="M610" s="195"/>
    </row>
    <row r="611" customFormat="false" ht="15.75" hidden="false" customHeight="false" outlineLevel="0" collapsed="false">
      <c r="E611" s="193"/>
      <c r="J611" s="194"/>
      <c r="K611" s="194"/>
      <c r="L611" s="194"/>
      <c r="M611" s="195"/>
    </row>
    <row r="612" customFormat="false" ht="15.75" hidden="false" customHeight="false" outlineLevel="0" collapsed="false">
      <c r="E612" s="193"/>
      <c r="J612" s="194"/>
      <c r="K612" s="194"/>
      <c r="L612" s="194"/>
      <c r="M612" s="195"/>
    </row>
    <row r="613" customFormat="false" ht="15.75" hidden="false" customHeight="false" outlineLevel="0" collapsed="false">
      <c r="E613" s="193"/>
      <c r="J613" s="194"/>
      <c r="K613" s="194"/>
      <c r="L613" s="194"/>
      <c r="M613" s="195"/>
    </row>
    <row r="614" customFormat="false" ht="15.75" hidden="false" customHeight="false" outlineLevel="0" collapsed="false">
      <c r="E614" s="193"/>
      <c r="J614" s="194"/>
      <c r="K614" s="194"/>
      <c r="L614" s="194"/>
      <c r="M614" s="195"/>
    </row>
    <row r="615" customFormat="false" ht="15.75" hidden="false" customHeight="false" outlineLevel="0" collapsed="false">
      <c r="E615" s="193"/>
      <c r="J615" s="194"/>
      <c r="K615" s="194"/>
      <c r="L615" s="194"/>
      <c r="M615" s="195"/>
    </row>
    <row r="616" customFormat="false" ht="15.75" hidden="false" customHeight="false" outlineLevel="0" collapsed="false">
      <c r="E616" s="193"/>
      <c r="J616" s="194"/>
      <c r="K616" s="194"/>
      <c r="L616" s="194"/>
      <c r="M616" s="195"/>
    </row>
    <row r="617" customFormat="false" ht="15.75" hidden="false" customHeight="false" outlineLevel="0" collapsed="false">
      <c r="E617" s="193"/>
      <c r="J617" s="194"/>
      <c r="K617" s="194"/>
      <c r="L617" s="194"/>
      <c r="M617" s="195"/>
    </row>
    <row r="618" customFormat="false" ht="15.75" hidden="false" customHeight="false" outlineLevel="0" collapsed="false">
      <c r="E618" s="193"/>
      <c r="J618" s="194"/>
      <c r="K618" s="194"/>
      <c r="L618" s="194"/>
      <c r="M618" s="195"/>
    </row>
    <row r="619" customFormat="false" ht="15.75" hidden="false" customHeight="false" outlineLevel="0" collapsed="false">
      <c r="E619" s="193"/>
      <c r="J619" s="194"/>
      <c r="K619" s="194"/>
      <c r="L619" s="194"/>
      <c r="M619" s="195"/>
    </row>
    <row r="620" customFormat="false" ht="15.75" hidden="false" customHeight="false" outlineLevel="0" collapsed="false">
      <c r="E620" s="193"/>
      <c r="J620" s="194"/>
      <c r="K620" s="194"/>
      <c r="L620" s="194"/>
      <c r="M620" s="195"/>
    </row>
    <row r="621" customFormat="false" ht="15.75" hidden="false" customHeight="false" outlineLevel="0" collapsed="false">
      <c r="E621" s="193"/>
      <c r="J621" s="194"/>
      <c r="K621" s="194"/>
      <c r="L621" s="194"/>
      <c r="M621" s="195"/>
    </row>
    <row r="622" customFormat="false" ht="15.75" hidden="false" customHeight="false" outlineLevel="0" collapsed="false">
      <c r="E622" s="193"/>
      <c r="J622" s="194"/>
      <c r="K622" s="194"/>
      <c r="L622" s="194"/>
      <c r="M622" s="195"/>
    </row>
    <row r="623" customFormat="false" ht="15.75" hidden="false" customHeight="false" outlineLevel="0" collapsed="false">
      <c r="E623" s="193"/>
      <c r="J623" s="194"/>
      <c r="K623" s="194"/>
      <c r="L623" s="194"/>
      <c r="M623" s="195"/>
    </row>
    <row r="624" customFormat="false" ht="15.75" hidden="false" customHeight="false" outlineLevel="0" collapsed="false">
      <c r="E624" s="193"/>
      <c r="J624" s="194"/>
      <c r="K624" s="194"/>
      <c r="L624" s="194"/>
      <c r="M624" s="195"/>
    </row>
    <row r="625" customFormat="false" ht="15.75" hidden="false" customHeight="false" outlineLevel="0" collapsed="false">
      <c r="E625" s="193"/>
      <c r="J625" s="194"/>
      <c r="K625" s="194"/>
      <c r="L625" s="194"/>
      <c r="M625" s="195"/>
    </row>
    <row r="626" customFormat="false" ht="15.75" hidden="false" customHeight="false" outlineLevel="0" collapsed="false">
      <c r="E626" s="193"/>
      <c r="J626" s="194"/>
      <c r="K626" s="194"/>
      <c r="L626" s="194"/>
      <c r="M626" s="195"/>
    </row>
    <row r="627" customFormat="false" ht="15.75" hidden="false" customHeight="false" outlineLevel="0" collapsed="false">
      <c r="E627" s="193"/>
      <c r="J627" s="194"/>
      <c r="K627" s="194"/>
      <c r="L627" s="194"/>
      <c r="M627" s="195"/>
    </row>
    <row r="628" customFormat="false" ht="15.75" hidden="false" customHeight="false" outlineLevel="0" collapsed="false">
      <c r="E628" s="193"/>
      <c r="J628" s="194"/>
      <c r="K628" s="194"/>
      <c r="L628" s="194"/>
      <c r="M628" s="195"/>
    </row>
    <row r="629" customFormat="false" ht="15.75" hidden="false" customHeight="false" outlineLevel="0" collapsed="false">
      <c r="E629" s="193"/>
      <c r="J629" s="194"/>
      <c r="K629" s="194"/>
      <c r="L629" s="194"/>
      <c r="M629" s="195"/>
    </row>
    <row r="630" customFormat="false" ht="15.75" hidden="false" customHeight="false" outlineLevel="0" collapsed="false">
      <c r="E630" s="193"/>
      <c r="J630" s="194"/>
      <c r="K630" s="194"/>
      <c r="L630" s="194"/>
      <c r="M630" s="195"/>
    </row>
    <row r="631" customFormat="false" ht="15.75" hidden="false" customHeight="false" outlineLevel="0" collapsed="false">
      <c r="E631" s="193"/>
      <c r="J631" s="194"/>
      <c r="K631" s="194"/>
      <c r="L631" s="194"/>
      <c r="M631" s="195"/>
    </row>
    <row r="632" customFormat="false" ht="15.75" hidden="false" customHeight="false" outlineLevel="0" collapsed="false">
      <c r="E632" s="193"/>
      <c r="J632" s="194"/>
      <c r="K632" s="194"/>
      <c r="L632" s="194"/>
      <c r="M632" s="195"/>
    </row>
    <row r="633" customFormat="false" ht="15.75" hidden="false" customHeight="false" outlineLevel="0" collapsed="false">
      <c r="E633" s="193"/>
      <c r="J633" s="194"/>
      <c r="K633" s="194"/>
      <c r="L633" s="194"/>
      <c r="M633" s="195"/>
    </row>
    <row r="634" customFormat="false" ht="15.75" hidden="false" customHeight="false" outlineLevel="0" collapsed="false">
      <c r="E634" s="193"/>
      <c r="J634" s="194"/>
      <c r="K634" s="194"/>
      <c r="L634" s="194"/>
      <c r="M634" s="195"/>
    </row>
    <row r="635" customFormat="false" ht="15.75" hidden="false" customHeight="false" outlineLevel="0" collapsed="false">
      <c r="E635" s="193"/>
      <c r="J635" s="194"/>
      <c r="K635" s="194"/>
      <c r="L635" s="194"/>
      <c r="M635" s="195"/>
    </row>
    <row r="636" customFormat="false" ht="15.75" hidden="false" customHeight="false" outlineLevel="0" collapsed="false">
      <c r="E636" s="193"/>
      <c r="J636" s="194"/>
      <c r="K636" s="194"/>
      <c r="L636" s="194"/>
      <c r="M636" s="195"/>
    </row>
    <row r="637" customFormat="false" ht="15.75" hidden="false" customHeight="false" outlineLevel="0" collapsed="false">
      <c r="E637" s="193"/>
      <c r="J637" s="194"/>
      <c r="K637" s="194"/>
      <c r="L637" s="194"/>
      <c r="M637" s="195"/>
    </row>
    <row r="638" customFormat="false" ht="15.75" hidden="false" customHeight="false" outlineLevel="0" collapsed="false">
      <c r="E638" s="193"/>
      <c r="J638" s="194"/>
      <c r="K638" s="194"/>
      <c r="L638" s="194"/>
      <c r="M638" s="195"/>
    </row>
    <row r="639" customFormat="false" ht="15.75" hidden="false" customHeight="false" outlineLevel="0" collapsed="false">
      <c r="E639" s="193"/>
      <c r="J639" s="194"/>
      <c r="K639" s="194"/>
      <c r="L639" s="194"/>
      <c r="M639" s="195"/>
    </row>
    <row r="640" customFormat="false" ht="15.75" hidden="false" customHeight="false" outlineLevel="0" collapsed="false">
      <c r="E640" s="193"/>
      <c r="J640" s="194"/>
      <c r="K640" s="194"/>
      <c r="L640" s="194"/>
      <c r="M640" s="195"/>
    </row>
    <row r="641" customFormat="false" ht="15.75" hidden="false" customHeight="false" outlineLevel="0" collapsed="false">
      <c r="E641" s="193"/>
      <c r="J641" s="194"/>
      <c r="K641" s="194"/>
      <c r="L641" s="194"/>
      <c r="M641" s="195"/>
    </row>
    <row r="642" customFormat="false" ht="15.75" hidden="false" customHeight="false" outlineLevel="0" collapsed="false">
      <c r="E642" s="193"/>
      <c r="J642" s="194"/>
      <c r="K642" s="194"/>
      <c r="L642" s="194"/>
      <c r="M642" s="195"/>
    </row>
    <row r="643" customFormat="false" ht="15.75" hidden="false" customHeight="false" outlineLevel="0" collapsed="false">
      <c r="E643" s="193"/>
      <c r="J643" s="194"/>
      <c r="K643" s="194"/>
      <c r="L643" s="194"/>
      <c r="M643" s="195"/>
    </row>
    <row r="644" customFormat="false" ht="15.75" hidden="false" customHeight="false" outlineLevel="0" collapsed="false">
      <c r="E644" s="193"/>
      <c r="J644" s="194"/>
      <c r="K644" s="194"/>
      <c r="L644" s="194"/>
      <c r="M644" s="195"/>
    </row>
    <row r="645" customFormat="false" ht="15.75" hidden="false" customHeight="false" outlineLevel="0" collapsed="false">
      <c r="E645" s="193"/>
      <c r="J645" s="194"/>
      <c r="K645" s="194"/>
      <c r="L645" s="194"/>
      <c r="M645" s="195"/>
    </row>
    <row r="646" customFormat="false" ht="15.75" hidden="false" customHeight="false" outlineLevel="0" collapsed="false">
      <c r="E646" s="193"/>
      <c r="J646" s="194"/>
      <c r="K646" s="194"/>
      <c r="L646" s="194"/>
      <c r="M646" s="195"/>
    </row>
    <row r="647" customFormat="false" ht="15.75" hidden="false" customHeight="false" outlineLevel="0" collapsed="false">
      <c r="E647" s="193"/>
      <c r="J647" s="194"/>
      <c r="K647" s="194"/>
      <c r="L647" s="194"/>
      <c r="M647" s="195"/>
    </row>
    <row r="648" customFormat="false" ht="15.75" hidden="false" customHeight="false" outlineLevel="0" collapsed="false">
      <c r="E648" s="193"/>
      <c r="J648" s="194"/>
      <c r="K648" s="194"/>
      <c r="L648" s="194"/>
      <c r="M648" s="195"/>
    </row>
    <row r="649" customFormat="false" ht="15.75" hidden="false" customHeight="false" outlineLevel="0" collapsed="false">
      <c r="E649" s="193"/>
      <c r="J649" s="194"/>
      <c r="K649" s="194"/>
      <c r="L649" s="194"/>
      <c r="M649" s="195"/>
    </row>
    <row r="650" customFormat="false" ht="15.75" hidden="false" customHeight="false" outlineLevel="0" collapsed="false">
      <c r="E650" s="193"/>
      <c r="J650" s="194"/>
      <c r="K650" s="194"/>
      <c r="L650" s="194"/>
      <c r="M650" s="195"/>
    </row>
    <row r="651" customFormat="false" ht="15.75" hidden="false" customHeight="false" outlineLevel="0" collapsed="false">
      <c r="E651" s="193"/>
      <c r="J651" s="194"/>
      <c r="K651" s="194"/>
      <c r="L651" s="194"/>
      <c r="M651" s="195"/>
    </row>
    <row r="652" customFormat="false" ht="15.75" hidden="false" customHeight="false" outlineLevel="0" collapsed="false">
      <c r="E652" s="193"/>
      <c r="J652" s="194"/>
      <c r="K652" s="194"/>
      <c r="L652" s="194"/>
      <c r="M652" s="195"/>
    </row>
    <row r="653" customFormat="false" ht="15.75" hidden="false" customHeight="false" outlineLevel="0" collapsed="false">
      <c r="E653" s="193"/>
      <c r="J653" s="194"/>
      <c r="K653" s="194"/>
      <c r="L653" s="194"/>
      <c r="M653" s="195"/>
    </row>
    <row r="654" customFormat="false" ht="15.75" hidden="false" customHeight="false" outlineLevel="0" collapsed="false">
      <c r="E654" s="193"/>
      <c r="J654" s="194"/>
      <c r="K654" s="194"/>
      <c r="L654" s="194"/>
      <c r="M654" s="195"/>
    </row>
    <row r="655" customFormat="false" ht="15.75" hidden="false" customHeight="false" outlineLevel="0" collapsed="false">
      <c r="E655" s="193"/>
      <c r="J655" s="194"/>
      <c r="K655" s="194"/>
      <c r="L655" s="194"/>
      <c r="M655" s="195"/>
    </row>
    <row r="656" customFormat="false" ht="15.75" hidden="false" customHeight="false" outlineLevel="0" collapsed="false">
      <c r="E656" s="193"/>
      <c r="J656" s="194"/>
      <c r="K656" s="194"/>
      <c r="L656" s="194"/>
      <c r="M656" s="195"/>
    </row>
    <row r="657" customFormat="false" ht="15.75" hidden="false" customHeight="false" outlineLevel="0" collapsed="false">
      <c r="E657" s="193"/>
      <c r="J657" s="194"/>
      <c r="K657" s="194"/>
      <c r="L657" s="194"/>
      <c r="M657" s="195"/>
    </row>
    <row r="658" customFormat="false" ht="15.75" hidden="false" customHeight="false" outlineLevel="0" collapsed="false">
      <c r="E658" s="193"/>
      <c r="J658" s="194"/>
      <c r="K658" s="194"/>
      <c r="L658" s="194"/>
      <c r="M658" s="195"/>
    </row>
    <row r="659" customFormat="false" ht="15.75" hidden="false" customHeight="false" outlineLevel="0" collapsed="false">
      <c r="E659" s="193"/>
      <c r="J659" s="194"/>
      <c r="K659" s="194"/>
      <c r="L659" s="194"/>
      <c r="M659" s="195"/>
    </row>
    <row r="660" customFormat="false" ht="15.75" hidden="false" customHeight="false" outlineLevel="0" collapsed="false">
      <c r="E660" s="193"/>
      <c r="J660" s="194"/>
      <c r="K660" s="194"/>
      <c r="L660" s="194"/>
      <c r="M660" s="195"/>
    </row>
    <row r="661" customFormat="false" ht="15.75" hidden="false" customHeight="false" outlineLevel="0" collapsed="false">
      <c r="E661" s="193"/>
      <c r="J661" s="194"/>
      <c r="K661" s="194"/>
      <c r="L661" s="194"/>
      <c r="M661" s="195"/>
    </row>
    <row r="662" customFormat="false" ht="15.75" hidden="false" customHeight="false" outlineLevel="0" collapsed="false">
      <c r="E662" s="193"/>
      <c r="J662" s="194"/>
      <c r="K662" s="194"/>
      <c r="L662" s="194"/>
      <c r="M662" s="195"/>
    </row>
    <row r="663" customFormat="false" ht="15.75" hidden="false" customHeight="false" outlineLevel="0" collapsed="false">
      <c r="E663" s="193"/>
      <c r="J663" s="194"/>
      <c r="K663" s="194"/>
      <c r="L663" s="194"/>
      <c r="M663" s="195"/>
    </row>
    <row r="664" customFormat="false" ht="15.75" hidden="false" customHeight="false" outlineLevel="0" collapsed="false">
      <c r="E664" s="193"/>
      <c r="J664" s="194"/>
      <c r="K664" s="194"/>
      <c r="L664" s="194"/>
      <c r="M664" s="195"/>
    </row>
    <row r="665" customFormat="false" ht="15.75" hidden="false" customHeight="false" outlineLevel="0" collapsed="false">
      <c r="E665" s="193"/>
      <c r="J665" s="194"/>
      <c r="K665" s="194"/>
      <c r="L665" s="194"/>
      <c r="M665" s="195"/>
    </row>
    <row r="666" customFormat="false" ht="15.75" hidden="false" customHeight="false" outlineLevel="0" collapsed="false">
      <c r="E666" s="193"/>
      <c r="J666" s="194"/>
      <c r="K666" s="194"/>
      <c r="L666" s="194"/>
      <c r="M666" s="195"/>
    </row>
    <row r="667" customFormat="false" ht="15.75" hidden="false" customHeight="false" outlineLevel="0" collapsed="false">
      <c r="E667" s="193"/>
      <c r="J667" s="194"/>
      <c r="K667" s="194"/>
      <c r="L667" s="194"/>
      <c r="M667" s="195"/>
    </row>
    <row r="668" customFormat="false" ht="15.75" hidden="false" customHeight="false" outlineLevel="0" collapsed="false">
      <c r="E668" s="193"/>
      <c r="J668" s="194"/>
      <c r="K668" s="194"/>
      <c r="L668" s="194"/>
      <c r="M668" s="195"/>
    </row>
    <row r="669" customFormat="false" ht="15.75" hidden="false" customHeight="false" outlineLevel="0" collapsed="false">
      <c r="E669" s="193"/>
      <c r="J669" s="194"/>
      <c r="K669" s="194"/>
      <c r="L669" s="194"/>
      <c r="M669" s="195"/>
    </row>
    <row r="670" customFormat="false" ht="15.75" hidden="false" customHeight="false" outlineLevel="0" collapsed="false">
      <c r="E670" s="193"/>
      <c r="J670" s="194"/>
      <c r="K670" s="194"/>
      <c r="L670" s="194"/>
      <c r="M670" s="195"/>
    </row>
    <row r="671" customFormat="false" ht="15.75" hidden="false" customHeight="false" outlineLevel="0" collapsed="false">
      <c r="E671" s="193"/>
      <c r="J671" s="194"/>
      <c r="K671" s="194"/>
      <c r="L671" s="194"/>
      <c r="M671" s="195"/>
    </row>
    <row r="672" customFormat="false" ht="15.75" hidden="false" customHeight="false" outlineLevel="0" collapsed="false">
      <c r="E672" s="193"/>
      <c r="J672" s="194"/>
      <c r="K672" s="194"/>
      <c r="L672" s="194"/>
      <c r="M672" s="195"/>
    </row>
    <row r="673" customFormat="false" ht="15.75" hidden="false" customHeight="false" outlineLevel="0" collapsed="false">
      <c r="E673" s="193"/>
      <c r="J673" s="194"/>
      <c r="K673" s="194"/>
      <c r="L673" s="194"/>
      <c r="M673" s="195"/>
    </row>
    <row r="674" customFormat="false" ht="15.75" hidden="false" customHeight="false" outlineLevel="0" collapsed="false">
      <c r="E674" s="193"/>
      <c r="J674" s="194"/>
      <c r="K674" s="194"/>
      <c r="L674" s="194"/>
      <c r="M674" s="195"/>
    </row>
    <row r="675" customFormat="false" ht="15.75" hidden="false" customHeight="false" outlineLevel="0" collapsed="false">
      <c r="E675" s="193"/>
      <c r="J675" s="194"/>
      <c r="K675" s="194"/>
      <c r="L675" s="194"/>
      <c r="M675" s="195"/>
    </row>
    <row r="676" customFormat="false" ht="15.75" hidden="false" customHeight="false" outlineLevel="0" collapsed="false">
      <c r="E676" s="193"/>
      <c r="J676" s="194"/>
      <c r="K676" s="194"/>
      <c r="L676" s="194"/>
      <c r="M676" s="195"/>
    </row>
    <row r="677" customFormat="false" ht="15.75" hidden="false" customHeight="false" outlineLevel="0" collapsed="false">
      <c r="E677" s="193"/>
      <c r="J677" s="194"/>
      <c r="K677" s="194"/>
      <c r="L677" s="194"/>
      <c r="M677" s="195"/>
    </row>
    <row r="678" customFormat="false" ht="15.75" hidden="false" customHeight="false" outlineLevel="0" collapsed="false">
      <c r="E678" s="193"/>
      <c r="J678" s="194"/>
      <c r="K678" s="194"/>
      <c r="L678" s="194"/>
      <c r="M678" s="195"/>
    </row>
    <row r="679" customFormat="false" ht="15.75" hidden="false" customHeight="false" outlineLevel="0" collapsed="false">
      <c r="E679" s="193"/>
      <c r="J679" s="194"/>
      <c r="K679" s="194"/>
      <c r="L679" s="194"/>
      <c r="M679" s="195"/>
    </row>
    <row r="680" customFormat="false" ht="15.75" hidden="false" customHeight="false" outlineLevel="0" collapsed="false">
      <c r="E680" s="193"/>
      <c r="J680" s="194"/>
      <c r="K680" s="194"/>
      <c r="L680" s="194"/>
      <c r="M680" s="195"/>
    </row>
    <row r="681" customFormat="false" ht="15.75" hidden="false" customHeight="false" outlineLevel="0" collapsed="false">
      <c r="E681" s="193"/>
      <c r="J681" s="194"/>
      <c r="K681" s="194"/>
      <c r="L681" s="194"/>
      <c r="M681" s="195"/>
    </row>
    <row r="682" customFormat="false" ht="15.75" hidden="false" customHeight="false" outlineLevel="0" collapsed="false">
      <c r="E682" s="193"/>
      <c r="J682" s="194"/>
      <c r="K682" s="194"/>
      <c r="L682" s="194"/>
      <c r="M682" s="195"/>
    </row>
    <row r="683" customFormat="false" ht="15.75" hidden="false" customHeight="false" outlineLevel="0" collapsed="false">
      <c r="E683" s="193"/>
      <c r="J683" s="194"/>
      <c r="K683" s="194"/>
      <c r="L683" s="194"/>
      <c r="M683" s="195"/>
    </row>
    <row r="684" customFormat="false" ht="15.75" hidden="false" customHeight="false" outlineLevel="0" collapsed="false">
      <c r="E684" s="193"/>
      <c r="J684" s="194"/>
      <c r="K684" s="194"/>
      <c r="L684" s="194"/>
      <c r="M684" s="195"/>
    </row>
    <row r="685" customFormat="false" ht="15.75" hidden="false" customHeight="false" outlineLevel="0" collapsed="false">
      <c r="E685" s="193"/>
      <c r="J685" s="194"/>
      <c r="K685" s="194"/>
      <c r="L685" s="194"/>
      <c r="M685" s="195"/>
    </row>
    <row r="686" customFormat="false" ht="15.75" hidden="false" customHeight="false" outlineLevel="0" collapsed="false">
      <c r="E686" s="193"/>
      <c r="J686" s="194"/>
      <c r="K686" s="194"/>
      <c r="L686" s="194"/>
      <c r="M686" s="195"/>
    </row>
    <row r="687" customFormat="false" ht="15.75" hidden="false" customHeight="false" outlineLevel="0" collapsed="false">
      <c r="E687" s="193"/>
      <c r="J687" s="194"/>
      <c r="K687" s="194"/>
      <c r="L687" s="194"/>
      <c r="M687" s="195"/>
    </row>
    <row r="688" customFormat="false" ht="15.75" hidden="false" customHeight="false" outlineLevel="0" collapsed="false">
      <c r="E688" s="193"/>
      <c r="J688" s="194"/>
      <c r="K688" s="194"/>
      <c r="L688" s="194"/>
      <c r="M688" s="195"/>
    </row>
    <row r="689" customFormat="false" ht="15.75" hidden="false" customHeight="false" outlineLevel="0" collapsed="false">
      <c r="E689" s="193"/>
      <c r="J689" s="194"/>
      <c r="K689" s="194"/>
      <c r="L689" s="194"/>
      <c r="M689" s="195"/>
    </row>
    <row r="690" customFormat="false" ht="15.75" hidden="false" customHeight="false" outlineLevel="0" collapsed="false">
      <c r="E690" s="193"/>
      <c r="J690" s="194"/>
      <c r="K690" s="194"/>
      <c r="L690" s="194"/>
      <c r="M690" s="195"/>
    </row>
    <row r="691" customFormat="false" ht="15.75" hidden="false" customHeight="false" outlineLevel="0" collapsed="false">
      <c r="E691" s="193"/>
      <c r="J691" s="194"/>
      <c r="K691" s="194"/>
      <c r="L691" s="194"/>
      <c r="M691" s="195"/>
    </row>
    <row r="692" customFormat="false" ht="15.75" hidden="false" customHeight="false" outlineLevel="0" collapsed="false">
      <c r="E692" s="193"/>
      <c r="J692" s="194"/>
      <c r="K692" s="194"/>
      <c r="L692" s="194"/>
      <c r="M692" s="195"/>
    </row>
    <row r="693" customFormat="false" ht="15.75" hidden="false" customHeight="false" outlineLevel="0" collapsed="false">
      <c r="E693" s="193"/>
      <c r="J693" s="194"/>
      <c r="K693" s="194"/>
      <c r="L693" s="194"/>
      <c r="M693" s="195"/>
    </row>
    <row r="694" customFormat="false" ht="15.75" hidden="false" customHeight="false" outlineLevel="0" collapsed="false">
      <c r="E694" s="193"/>
      <c r="J694" s="194"/>
      <c r="K694" s="194"/>
      <c r="L694" s="194"/>
      <c r="M694" s="195"/>
    </row>
    <row r="695" customFormat="false" ht="15.75" hidden="false" customHeight="false" outlineLevel="0" collapsed="false">
      <c r="E695" s="193"/>
      <c r="J695" s="194"/>
      <c r="K695" s="194"/>
      <c r="L695" s="194"/>
      <c r="M695" s="195"/>
    </row>
    <row r="696" customFormat="false" ht="15.75" hidden="false" customHeight="false" outlineLevel="0" collapsed="false">
      <c r="E696" s="193"/>
      <c r="J696" s="194"/>
      <c r="K696" s="194"/>
      <c r="L696" s="194"/>
      <c r="M696" s="195"/>
    </row>
    <row r="697" customFormat="false" ht="15.75" hidden="false" customHeight="false" outlineLevel="0" collapsed="false">
      <c r="E697" s="193"/>
      <c r="J697" s="194"/>
      <c r="K697" s="194"/>
      <c r="L697" s="194"/>
      <c r="M697" s="195"/>
    </row>
    <row r="698" customFormat="false" ht="15.75" hidden="false" customHeight="false" outlineLevel="0" collapsed="false">
      <c r="E698" s="193"/>
      <c r="J698" s="194"/>
      <c r="K698" s="194"/>
      <c r="L698" s="194"/>
      <c r="M698" s="195"/>
    </row>
    <row r="699" customFormat="false" ht="15.75" hidden="false" customHeight="false" outlineLevel="0" collapsed="false">
      <c r="E699" s="193"/>
      <c r="J699" s="194"/>
      <c r="K699" s="194"/>
      <c r="L699" s="194"/>
      <c r="M699" s="195"/>
    </row>
    <row r="700" customFormat="false" ht="15.75" hidden="false" customHeight="false" outlineLevel="0" collapsed="false">
      <c r="E700" s="193"/>
      <c r="J700" s="194"/>
      <c r="K700" s="194"/>
      <c r="L700" s="194"/>
      <c r="M700" s="195"/>
    </row>
    <row r="701" customFormat="false" ht="15.75" hidden="false" customHeight="false" outlineLevel="0" collapsed="false">
      <c r="E701" s="193"/>
      <c r="J701" s="194"/>
      <c r="K701" s="194"/>
      <c r="L701" s="194"/>
      <c r="M701" s="195"/>
    </row>
    <row r="702" customFormat="false" ht="15.75" hidden="false" customHeight="false" outlineLevel="0" collapsed="false">
      <c r="E702" s="193"/>
      <c r="J702" s="194"/>
      <c r="K702" s="194"/>
      <c r="L702" s="194"/>
      <c r="M702" s="195"/>
    </row>
    <row r="703" customFormat="false" ht="15.75" hidden="false" customHeight="false" outlineLevel="0" collapsed="false">
      <c r="E703" s="193"/>
      <c r="J703" s="194"/>
      <c r="K703" s="194"/>
      <c r="L703" s="194"/>
      <c r="M703" s="195"/>
    </row>
    <row r="704" customFormat="false" ht="15.75" hidden="false" customHeight="false" outlineLevel="0" collapsed="false">
      <c r="E704" s="193"/>
      <c r="J704" s="194"/>
      <c r="K704" s="194"/>
      <c r="L704" s="194"/>
      <c r="M704" s="195"/>
    </row>
    <row r="705" customFormat="false" ht="15.75" hidden="false" customHeight="false" outlineLevel="0" collapsed="false">
      <c r="E705" s="193"/>
      <c r="J705" s="194"/>
      <c r="K705" s="194"/>
      <c r="L705" s="194"/>
      <c r="M705" s="195"/>
    </row>
    <row r="706" customFormat="false" ht="15.75" hidden="false" customHeight="false" outlineLevel="0" collapsed="false">
      <c r="E706" s="193"/>
      <c r="J706" s="194"/>
      <c r="K706" s="194"/>
      <c r="L706" s="194"/>
      <c r="M706" s="195"/>
    </row>
    <row r="707" customFormat="false" ht="15.75" hidden="false" customHeight="false" outlineLevel="0" collapsed="false">
      <c r="E707" s="193"/>
      <c r="J707" s="194"/>
      <c r="K707" s="194"/>
      <c r="L707" s="194"/>
      <c r="M707" s="195"/>
    </row>
    <row r="708" customFormat="false" ht="15.75" hidden="false" customHeight="false" outlineLevel="0" collapsed="false">
      <c r="E708" s="193"/>
      <c r="J708" s="194"/>
      <c r="K708" s="194"/>
      <c r="L708" s="194"/>
      <c r="M708" s="195"/>
    </row>
    <row r="709" customFormat="false" ht="15.75" hidden="false" customHeight="false" outlineLevel="0" collapsed="false">
      <c r="E709" s="193"/>
      <c r="J709" s="194"/>
      <c r="K709" s="194"/>
      <c r="L709" s="194"/>
      <c r="M709" s="195"/>
    </row>
    <row r="710" customFormat="false" ht="15.75" hidden="false" customHeight="false" outlineLevel="0" collapsed="false">
      <c r="E710" s="193"/>
      <c r="J710" s="194"/>
      <c r="K710" s="194"/>
      <c r="L710" s="194"/>
      <c r="M710" s="195"/>
    </row>
    <row r="711" customFormat="false" ht="15.75" hidden="false" customHeight="false" outlineLevel="0" collapsed="false">
      <c r="E711" s="193"/>
      <c r="J711" s="194"/>
      <c r="K711" s="194"/>
      <c r="L711" s="194"/>
      <c r="M711" s="195"/>
    </row>
    <row r="712" customFormat="false" ht="15.75" hidden="false" customHeight="false" outlineLevel="0" collapsed="false">
      <c r="E712" s="193"/>
      <c r="J712" s="194"/>
      <c r="K712" s="194"/>
      <c r="L712" s="194"/>
      <c r="M712" s="195"/>
    </row>
    <row r="713" customFormat="false" ht="15.75" hidden="false" customHeight="false" outlineLevel="0" collapsed="false">
      <c r="E713" s="193"/>
      <c r="J713" s="194"/>
      <c r="K713" s="194"/>
      <c r="L713" s="194"/>
      <c r="M713" s="195"/>
    </row>
    <row r="714" customFormat="false" ht="15.75" hidden="false" customHeight="false" outlineLevel="0" collapsed="false">
      <c r="E714" s="193"/>
      <c r="J714" s="194"/>
      <c r="K714" s="194"/>
      <c r="L714" s="194"/>
      <c r="M714" s="195"/>
    </row>
    <row r="715" customFormat="false" ht="15.75" hidden="false" customHeight="false" outlineLevel="0" collapsed="false">
      <c r="E715" s="193"/>
      <c r="J715" s="194"/>
      <c r="K715" s="194"/>
      <c r="L715" s="194"/>
      <c r="M715" s="195"/>
    </row>
    <row r="716" customFormat="false" ht="15.75" hidden="false" customHeight="false" outlineLevel="0" collapsed="false">
      <c r="E716" s="193"/>
      <c r="J716" s="194"/>
      <c r="K716" s="194"/>
      <c r="L716" s="194"/>
      <c r="M716" s="195"/>
    </row>
    <row r="717" customFormat="false" ht="15.75" hidden="false" customHeight="false" outlineLevel="0" collapsed="false">
      <c r="E717" s="193"/>
      <c r="J717" s="194"/>
      <c r="K717" s="194"/>
      <c r="L717" s="194"/>
      <c r="M717" s="195"/>
    </row>
    <row r="718" customFormat="false" ht="15.75" hidden="false" customHeight="false" outlineLevel="0" collapsed="false">
      <c r="E718" s="193"/>
      <c r="J718" s="194"/>
      <c r="K718" s="194"/>
      <c r="L718" s="194"/>
      <c r="M718" s="195"/>
    </row>
    <row r="719" customFormat="false" ht="15.75" hidden="false" customHeight="false" outlineLevel="0" collapsed="false">
      <c r="E719" s="193"/>
      <c r="J719" s="194"/>
      <c r="K719" s="194"/>
      <c r="L719" s="194"/>
      <c r="M719" s="195"/>
    </row>
    <row r="720" customFormat="false" ht="15.75" hidden="false" customHeight="false" outlineLevel="0" collapsed="false">
      <c r="E720" s="193"/>
      <c r="J720" s="194"/>
      <c r="K720" s="194"/>
      <c r="L720" s="194"/>
      <c r="M720" s="195"/>
    </row>
    <row r="721" customFormat="false" ht="15.75" hidden="false" customHeight="false" outlineLevel="0" collapsed="false">
      <c r="E721" s="193"/>
      <c r="J721" s="194"/>
      <c r="K721" s="194"/>
      <c r="L721" s="194"/>
      <c r="M721" s="195"/>
    </row>
    <row r="722" customFormat="false" ht="15.75" hidden="false" customHeight="false" outlineLevel="0" collapsed="false">
      <c r="E722" s="193"/>
      <c r="J722" s="194"/>
      <c r="K722" s="194"/>
      <c r="L722" s="194"/>
      <c r="M722" s="195"/>
    </row>
    <row r="723" customFormat="false" ht="15.75" hidden="false" customHeight="false" outlineLevel="0" collapsed="false">
      <c r="E723" s="193"/>
      <c r="J723" s="194"/>
      <c r="K723" s="194"/>
      <c r="L723" s="194"/>
      <c r="M723" s="195"/>
    </row>
    <row r="724" customFormat="false" ht="15.75" hidden="false" customHeight="false" outlineLevel="0" collapsed="false">
      <c r="E724" s="193"/>
      <c r="J724" s="194"/>
      <c r="K724" s="194"/>
      <c r="L724" s="194"/>
      <c r="M724" s="195"/>
    </row>
    <row r="725" customFormat="false" ht="15.75" hidden="false" customHeight="false" outlineLevel="0" collapsed="false">
      <c r="E725" s="193"/>
      <c r="J725" s="194"/>
      <c r="K725" s="194"/>
      <c r="L725" s="194"/>
      <c r="M725" s="195"/>
    </row>
    <row r="726" customFormat="false" ht="15.75" hidden="false" customHeight="false" outlineLevel="0" collapsed="false">
      <c r="E726" s="193"/>
      <c r="J726" s="194"/>
      <c r="K726" s="194"/>
      <c r="L726" s="194"/>
      <c r="M726" s="195"/>
    </row>
    <row r="727" customFormat="false" ht="15.75" hidden="false" customHeight="false" outlineLevel="0" collapsed="false">
      <c r="E727" s="193"/>
      <c r="J727" s="194"/>
      <c r="K727" s="194"/>
      <c r="L727" s="194"/>
      <c r="M727" s="195"/>
    </row>
    <row r="728" customFormat="false" ht="15.75" hidden="false" customHeight="false" outlineLevel="0" collapsed="false">
      <c r="E728" s="193"/>
      <c r="J728" s="194"/>
      <c r="K728" s="194"/>
      <c r="L728" s="194"/>
      <c r="M728" s="195"/>
    </row>
    <row r="729" customFormat="false" ht="15.75" hidden="false" customHeight="false" outlineLevel="0" collapsed="false">
      <c r="E729" s="193"/>
      <c r="J729" s="194"/>
      <c r="K729" s="194"/>
      <c r="L729" s="194"/>
      <c r="M729" s="195"/>
    </row>
    <row r="730" customFormat="false" ht="15.75" hidden="false" customHeight="false" outlineLevel="0" collapsed="false">
      <c r="E730" s="193"/>
      <c r="J730" s="194"/>
      <c r="K730" s="194"/>
      <c r="L730" s="194"/>
      <c r="M730" s="195"/>
    </row>
    <row r="731" customFormat="false" ht="15.75" hidden="false" customHeight="false" outlineLevel="0" collapsed="false">
      <c r="E731" s="193"/>
      <c r="J731" s="194"/>
      <c r="K731" s="194"/>
      <c r="L731" s="194"/>
      <c r="M731" s="195"/>
    </row>
    <row r="732" customFormat="false" ht="15.75" hidden="false" customHeight="false" outlineLevel="0" collapsed="false">
      <c r="E732" s="193"/>
      <c r="J732" s="194"/>
      <c r="K732" s="194"/>
      <c r="L732" s="194"/>
      <c r="M732" s="195"/>
    </row>
    <row r="733" customFormat="false" ht="15.75" hidden="false" customHeight="false" outlineLevel="0" collapsed="false">
      <c r="E733" s="193"/>
      <c r="J733" s="194"/>
      <c r="K733" s="194"/>
      <c r="L733" s="194"/>
      <c r="M733" s="195"/>
    </row>
    <row r="734" customFormat="false" ht="15.75" hidden="false" customHeight="false" outlineLevel="0" collapsed="false">
      <c r="E734" s="193"/>
      <c r="J734" s="194"/>
      <c r="K734" s="194"/>
      <c r="L734" s="194"/>
      <c r="M734" s="195"/>
    </row>
    <row r="735" customFormat="false" ht="15.75" hidden="false" customHeight="false" outlineLevel="0" collapsed="false">
      <c r="E735" s="193"/>
      <c r="J735" s="194"/>
      <c r="K735" s="194"/>
      <c r="L735" s="194"/>
      <c r="M735" s="195"/>
    </row>
    <row r="736" customFormat="false" ht="15.75" hidden="false" customHeight="false" outlineLevel="0" collapsed="false">
      <c r="E736" s="193"/>
      <c r="J736" s="194"/>
      <c r="K736" s="194"/>
      <c r="L736" s="194"/>
      <c r="M736" s="195"/>
    </row>
    <row r="737" customFormat="false" ht="15.75" hidden="false" customHeight="false" outlineLevel="0" collapsed="false">
      <c r="E737" s="193"/>
      <c r="J737" s="194"/>
      <c r="K737" s="194"/>
      <c r="L737" s="194"/>
      <c r="M737" s="195"/>
    </row>
    <row r="738" customFormat="false" ht="15.75" hidden="false" customHeight="false" outlineLevel="0" collapsed="false">
      <c r="E738" s="193"/>
      <c r="J738" s="194"/>
      <c r="K738" s="194"/>
      <c r="L738" s="194"/>
      <c r="M738" s="195"/>
    </row>
    <row r="739" customFormat="false" ht="15.75" hidden="false" customHeight="false" outlineLevel="0" collapsed="false">
      <c r="E739" s="193"/>
      <c r="J739" s="194"/>
      <c r="K739" s="194"/>
      <c r="L739" s="194"/>
      <c r="M739" s="195"/>
    </row>
    <row r="740" customFormat="false" ht="15.75" hidden="false" customHeight="false" outlineLevel="0" collapsed="false">
      <c r="E740" s="193"/>
      <c r="J740" s="194"/>
      <c r="K740" s="194"/>
      <c r="L740" s="194"/>
      <c r="M740" s="195"/>
    </row>
    <row r="741" customFormat="false" ht="15.75" hidden="false" customHeight="false" outlineLevel="0" collapsed="false">
      <c r="E741" s="193"/>
      <c r="J741" s="194"/>
      <c r="K741" s="194"/>
      <c r="L741" s="194"/>
      <c r="M741" s="195"/>
    </row>
    <row r="742" customFormat="false" ht="15.75" hidden="false" customHeight="false" outlineLevel="0" collapsed="false">
      <c r="E742" s="193"/>
      <c r="J742" s="194"/>
      <c r="K742" s="194"/>
      <c r="L742" s="194"/>
      <c r="M742" s="195"/>
    </row>
    <row r="743" customFormat="false" ht="15.75" hidden="false" customHeight="false" outlineLevel="0" collapsed="false">
      <c r="E743" s="193"/>
      <c r="J743" s="194"/>
      <c r="K743" s="194"/>
      <c r="L743" s="194"/>
      <c r="M743" s="195"/>
    </row>
    <row r="744" customFormat="false" ht="15.75" hidden="false" customHeight="false" outlineLevel="0" collapsed="false">
      <c r="E744" s="193"/>
      <c r="J744" s="194"/>
      <c r="K744" s="194"/>
      <c r="L744" s="194"/>
      <c r="M744" s="195"/>
    </row>
    <row r="745" customFormat="false" ht="15.75" hidden="false" customHeight="false" outlineLevel="0" collapsed="false">
      <c r="E745" s="193"/>
      <c r="J745" s="194"/>
      <c r="K745" s="194"/>
      <c r="L745" s="194"/>
      <c r="M745" s="195"/>
    </row>
    <row r="746" customFormat="false" ht="15.75" hidden="false" customHeight="false" outlineLevel="0" collapsed="false">
      <c r="E746" s="193"/>
      <c r="J746" s="194"/>
      <c r="K746" s="194"/>
      <c r="L746" s="194"/>
      <c r="M746" s="195"/>
    </row>
    <row r="747" customFormat="false" ht="15.75" hidden="false" customHeight="false" outlineLevel="0" collapsed="false">
      <c r="E747" s="193"/>
      <c r="J747" s="194"/>
      <c r="K747" s="194"/>
      <c r="L747" s="194"/>
      <c r="M747" s="195"/>
    </row>
    <row r="748" customFormat="false" ht="15.75" hidden="false" customHeight="false" outlineLevel="0" collapsed="false">
      <c r="E748" s="193"/>
      <c r="J748" s="194"/>
      <c r="K748" s="194"/>
      <c r="L748" s="194"/>
      <c r="M748" s="195"/>
    </row>
    <row r="749" customFormat="false" ht="15.75" hidden="false" customHeight="false" outlineLevel="0" collapsed="false">
      <c r="E749" s="193"/>
      <c r="J749" s="194"/>
      <c r="K749" s="194"/>
      <c r="L749" s="194"/>
      <c r="M749" s="195"/>
    </row>
    <row r="750" customFormat="false" ht="15.75" hidden="false" customHeight="false" outlineLevel="0" collapsed="false">
      <c r="E750" s="193"/>
      <c r="J750" s="194"/>
      <c r="K750" s="194"/>
      <c r="L750" s="194"/>
      <c r="M750" s="195"/>
    </row>
    <row r="751" customFormat="false" ht="15.75" hidden="false" customHeight="false" outlineLevel="0" collapsed="false">
      <c r="E751" s="193"/>
      <c r="J751" s="194"/>
      <c r="K751" s="194"/>
      <c r="L751" s="194"/>
      <c r="M751" s="195"/>
    </row>
    <row r="752" customFormat="false" ht="15.75" hidden="false" customHeight="false" outlineLevel="0" collapsed="false">
      <c r="E752" s="193"/>
      <c r="J752" s="194"/>
      <c r="K752" s="194"/>
      <c r="L752" s="194"/>
      <c r="M752" s="195"/>
    </row>
    <row r="753" customFormat="false" ht="15.75" hidden="false" customHeight="false" outlineLevel="0" collapsed="false">
      <c r="E753" s="193"/>
      <c r="J753" s="194"/>
      <c r="K753" s="194"/>
      <c r="L753" s="194"/>
      <c r="M753" s="195"/>
    </row>
    <row r="754" customFormat="false" ht="15.75" hidden="false" customHeight="false" outlineLevel="0" collapsed="false">
      <c r="E754" s="193"/>
      <c r="J754" s="194"/>
      <c r="K754" s="194"/>
      <c r="L754" s="194"/>
      <c r="M754" s="195"/>
    </row>
    <row r="755" customFormat="false" ht="15.75" hidden="false" customHeight="false" outlineLevel="0" collapsed="false">
      <c r="E755" s="193"/>
      <c r="J755" s="194"/>
      <c r="K755" s="194"/>
      <c r="L755" s="194"/>
      <c r="M755" s="195"/>
    </row>
    <row r="756" customFormat="false" ht="15.75" hidden="false" customHeight="false" outlineLevel="0" collapsed="false">
      <c r="E756" s="193"/>
      <c r="J756" s="194"/>
      <c r="K756" s="194"/>
      <c r="L756" s="194"/>
      <c r="M756" s="195"/>
    </row>
    <row r="757" customFormat="false" ht="15.75" hidden="false" customHeight="false" outlineLevel="0" collapsed="false">
      <c r="E757" s="193"/>
      <c r="J757" s="194"/>
      <c r="K757" s="194"/>
      <c r="L757" s="194"/>
      <c r="M757" s="195"/>
    </row>
    <row r="758" customFormat="false" ht="15.75" hidden="false" customHeight="false" outlineLevel="0" collapsed="false">
      <c r="E758" s="193"/>
      <c r="J758" s="194"/>
      <c r="K758" s="194"/>
      <c r="L758" s="194"/>
      <c r="M758" s="195"/>
    </row>
    <row r="759" customFormat="false" ht="15.75" hidden="false" customHeight="false" outlineLevel="0" collapsed="false">
      <c r="E759" s="193"/>
      <c r="J759" s="194"/>
      <c r="K759" s="194"/>
      <c r="L759" s="194"/>
      <c r="M759" s="195"/>
    </row>
    <row r="760" customFormat="false" ht="15.75" hidden="false" customHeight="false" outlineLevel="0" collapsed="false">
      <c r="E760" s="193"/>
      <c r="J760" s="194"/>
      <c r="K760" s="194"/>
      <c r="L760" s="194"/>
      <c r="M760" s="195"/>
    </row>
    <row r="761" customFormat="false" ht="15.75" hidden="false" customHeight="false" outlineLevel="0" collapsed="false">
      <c r="E761" s="193"/>
      <c r="J761" s="194"/>
      <c r="K761" s="194"/>
      <c r="L761" s="194"/>
      <c r="M761" s="195"/>
    </row>
    <row r="762" customFormat="false" ht="15.75" hidden="false" customHeight="false" outlineLevel="0" collapsed="false">
      <c r="E762" s="193"/>
      <c r="J762" s="194"/>
      <c r="K762" s="194"/>
      <c r="L762" s="194"/>
      <c r="M762" s="195"/>
    </row>
    <row r="763" customFormat="false" ht="15.75" hidden="false" customHeight="false" outlineLevel="0" collapsed="false">
      <c r="E763" s="193"/>
      <c r="J763" s="194"/>
      <c r="K763" s="194"/>
      <c r="L763" s="194"/>
      <c r="M763" s="195"/>
    </row>
    <row r="764" customFormat="false" ht="15.75" hidden="false" customHeight="false" outlineLevel="0" collapsed="false">
      <c r="E764" s="193"/>
      <c r="J764" s="194"/>
      <c r="K764" s="194"/>
      <c r="L764" s="194"/>
      <c r="M764" s="195"/>
    </row>
    <row r="765" customFormat="false" ht="15.75" hidden="false" customHeight="false" outlineLevel="0" collapsed="false">
      <c r="E765" s="193"/>
      <c r="J765" s="194"/>
      <c r="K765" s="194"/>
      <c r="L765" s="194"/>
      <c r="M765" s="195"/>
    </row>
    <row r="766" customFormat="false" ht="15.75" hidden="false" customHeight="false" outlineLevel="0" collapsed="false">
      <c r="E766" s="193"/>
      <c r="J766" s="194"/>
      <c r="K766" s="194"/>
      <c r="L766" s="194"/>
      <c r="M766" s="195"/>
    </row>
    <row r="767" customFormat="false" ht="15.75" hidden="false" customHeight="false" outlineLevel="0" collapsed="false">
      <c r="E767" s="193"/>
      <c r="J767" s="194"/>
      <c r="K767" s="194"/>
      <c r="L767" s="194"/>
      <c r="M767" s="195"/>
    </row>
    <row r="768" customFormat="false" ht="15.75" hidden="false" customHeight="false" outlineLevel="0" collapsed="false">
      <c r="E768" s="193"/>
      <c r="J768" s="194"/>
      <c r="K768" s="194"/>
      <c r="L768" s="194"/>
      <c r="M768" s="195"/>
    </row>
    <row r="769" customFormat="false" ht="15.75" hidden="false" customHeight="false" outlineLevel="0" collapsed="false">
      <c r="E769" s="193"/>
      <c r="J769" s="194"/>
      <c r="K769" s="194"/>
      <c r="L769" s="194"/>
      <c r="M769" s="195"/>
    </row>
    <row r="770" customFormat="false" ht="15.75" hidden="false" customHeight="false" outlineLevel="0" collapsed="false">
      <c r="E770" s="193"/>
      <c r="J770" s="194"/>
      <c r="K770" s="194"/>
      <c r="L770" s="194"/>
      <c r="M770" s="195"/>
    </row>
    <row r="771" customFormat="false" ht="15.75" hidden="false" customHeight="false" outlineLevel="0" collapsed="false">
      <c r="E771" s="193"/>
      <c r="J771" s="194"/>
      <c r="K771" s="194"/>
      <c r="L771" s="194"/>
      <c r="M771" s="195"/>
    </row>
    <row r="772" customFormat="false" ht="15.75" hidden="false" customHeight="false" outlineLevel="0" collapsed="false">
      <c r="E772" s="193"/>
      <c r="J772" s="194"/>
      <c r="K772" s="194"/>
      <c r="L772" s="194"/>
      <c r="M772" s="195"/>
    </row>
    <row r="773" customFormat="false" ht="15.75" hidden="false" customHeight="false" outlineLevel="0" collapsed="false">
      <c r="E773" s="193"/>
      <c r="J773" s="194"/>
      <c r="K773" s="194"/>
      <c r="L773" s="194"/>
      <c r="M773" s="195"/>
    </row>
    <row r="774" customFormat="false" ht="15.75" hidden="false" customHeight="false" outlineLevel="0" collapsed="false">
      <c r="E774" s="193"/>
      <c r="J774" s="194"/>
      <c r="K774" s="194"/>
      <c r="L774" s="194"/>
      <c r="M774" s="195"/>
    </row>
    <row r="775" customFormat="false" ht="15.75" hidden="false" customHeight="false" outlineLevel="0" collapsed="false">
      <c r="E775" s="193"/>
      <c r="J775" s="194"/>
      <c r="K775" s="194"/>
      <c r="L775" s="194"/>
      <c r="M775" s="195"/>
    </row>
    <row r="776" customFormat="false" ht="15.75" hidden="false" customHeight="false" outlineLevel="0" collapsed="false">
      <c r="E776" s="193"/>
      <c r="J776" s="194"/>
      <c r="K776" s="194"/>
      <c r="L776" s="194"/>
      <c r="M776" s="195"/>
    </row>
    <row r="777" customFormat="false" ht="15.75" hidden="false" customHeight="false" outlineLevel="0" collapsed="false">
      <c r="E777" s="193"/>
      <c r="J777" s="194"/>
      <c r="K777" s="194"/>
      <c r="L777" s="194"/>
      <c r="M777" s="195"/>
    </row>
    <row r="778" customFormat="false" ht="15.75" hidden="false" customHeight="false" outlineLevel="0" collapsed="false">
      <c r="E778" s="193"/>
      <c r="J778" s="194"/>
      <c r="K778" s="194"/>
      <c r="L778" s="194"/>
      <c r="M778" s="195"/>
    </row>
    <row r="779" customFormat="false" ht="15.75" hidden="false" customHeight="false" outlineLevel="0" collapsed="false">
      <c r="E779" s="193"/>
      <c r="J779" s="194"/>
      <c r="K779" s="194"/>
      <c r="L779" s="194"/>
      <c r="M779" s="195"/>
    </row>
    <row r="780" customFormat="false" ht="15.75" hidden="false" customHeight="false" outlineLevel="0" collapsed="false">
      <c r="E780" s="193"/>
      <c r="J780" s="194"/>
      <c r="K780" s="194"/>
      <c r="L780" s="194"/>
      <c r="M780" s="195"/>
    </row>
    <row r="781" customFormat="false" ht="15.75" hidden="false" customHeight="false" outlineLevel="0" collapsed="false">
      <c r="E781" s="193"/>
      <c r="J781" s="194"/>
      <c r="K781" s="194"/>
      <c r="L781" s="194"/>
      <c r="M781" s="195"/>
    </row>
    <row r="782" customFormat="false" ht="15.75" hidden="false" customHeight="false" outlineLevel="0" collapsed="false">
      <c r="E782" s="193"/>
      <c r="J782" s="194"/>
      <c r="K782" s="194"/>
      <c r="L782" s="194"/>
      <c r="M782" s="195"/>
    </row>
    <row r="783" customFormat="false" ht="15.75" hidden="false" customHeight="false" outlineLevel="0" collapsed="false">
      <c r="E783" s="193"/>
      <c r="J783" s="194"/>
      <c r="K783" s="194"/>
      <c r="L783" s="194"/>
      <c r="M783" s="195"/>
    </row>
    <row r="784" customFormat="false" ht="15.75" hidden="false" customHeight="false" outlineLevel="0" collapsed="false">
      <c r="E784" s="193"/>
      <c r="J784" s="194"/>
      <c r="K784" s="194"/>
      <c r="L784" s="194"/>
      <c r="M784" s="195"/>
    </row>
    <row r="785" customFormat="false" ht="15.75" hidden="false" customHeight="false" outlineLevel="0" collapsed="false">
      <c r="E785" s="193"/>
      <c r="J785" s="194"/>
      <c r="K785" s="194"/>
      <c r="L785" s="194"/>
      <c r="M785" s="195"/>
    </row>
    <row r="786" customFormat="false" ht="15.75" hidden="false" customHeight="false" outlineLevel="0" collapsed="false">
      <c r="E786" s="193"/>
      <c r="J786" s="194"/>
      <c r="K786" s="194"/>
      <c r="L786" s="194"/>
      <c r="M786" s="195"/>
    </row>
    <row r="787" customFormat="false" ht="15.75" hidden="false" customHeight="false" outlineLevel="0" collapsed="false">
      <c r="E787" s="193"/>
      <c r="J787" s="194"/>
      <c r="K787" s="194"/>
      <c r="L787" s="194"/>
      <c r="M787" s="195"/>
    </row>
    <row r="788" customFormat="false" ht="15.75" hidden="false" customHeight="false" outlineLevel="0" collapsed="false">
      <c r="E788" s="193"/>
      <c r="J788" s="194"/>
      <c r="K788" s="194"/>
      <c r="L788" s="194"/>
      <c r="M788" s="195"/>
    </row>
    <row r="789" customFormat="false" ht="15.75" hidden="false" customHeight="false" outlineLevel="0" collapsed="false">
      <c r="E789" s="193"/>
      <c r="J789" s="194"/>
      <c r="K789" s="194"/>
      <c r="L789" s="194"/>
      <c r="M789" s="195"/>
    </row>
    <row r="790" customFormat="false" ht="15.75" hidden="false" customHeight="false" outlineLevel="0" collapsed="false">
      <c r="E790" s="193"/>
      <c r="J790" s="194"/>
      <c r="K790" s="194"/>
      <c r="L790" s="194"/>
      <c r="M790" s="195"/>
    </row>
    <row r="791" customFormat="false" ht="15.75" hidden="false" customHeight="false" outlineLevel="0" collapsed="false">
      <c r="E791" s="193"/>
      <c r="J791" s="194"/>
      <c r="K791" s="194"/>
      <c r="L791" s="194"/>
      <c r="M791" s="195"/>
    </row>
    <row r="792" customFormat="false" ht="15.75" hidden="false" customHeight="false" outlineLevel="0" collapsed="false">
      <c r="E792" s="193"/>
      <c r="J792" s="194"/>
      <c r="K792" s="194"/>
      <c r="L792" s="194"/>
      <c r="M792" s="195"/>
    </row>
    <row r="793" customFormat="false" ht="15.75" hidden="false" customHeight="false" outlineLevel="0" collapsed="false">
      <c r="E793" s="193"/>
      <c r="J793" s="194"/>
      <c r="K793" s="194"/>
      <c r="L793" s="194"/>
      <c r="M793" s="195"/>
    </row>
    <row r="794" customFormat="false" ht="15.75" hidden="false" customHeight="false" outlineLevel="0" collapsed="false">
      <c r="E794" s="193"/>
      <c r="J794" s="194"/>
      <c r="K794" s="194"/>
      <c r="L794" s="194"/>
      <c r="M794" s="195"/>
    </row>
    <row r="795" customFormat="false" ht="15.75" hidden="false" customHeight="false" outlineLevel="0" collapsed="false">
      <c r="E795" s="193"/>
      <c r="J795" s="194"/>
      <c r="K795" s="194"/>
      <c r="L795" s="194"/>
      <c r="M795" s="195"/>
    </row>
    <row r="796" customFormat="false" ht="15.75" hidden="false" customHeight="false" outlineLevel="0" collapsed="false">
      <c r="E796" s="193"/>
      <c r="J796" s="194"/>
      <c r="K796" s="194"/>
      <c r="L796" s="194"/>
      <c r="M796" s="195"/>
    </row>
    <row r="797" customFormat="false" ht="15.75" hidden="false" customHeight="false" outlineLevel="0" collapsed="false">
      <c r="E797" s="193"/>
      <c r="J797" s="194"/>
      <c r="K797" s="194"/>
      <c r="L797" s="194"/>
      <c r="M797" s="195"/>
    </row>
    <row r="798" customFormat="false" ht="15.75" hidden="false" customHeight="false" outlineLevel="0" collapsed="false">
      <c r="E798" s="193"/>
      <c r="J798" s="194"/>
      <c r="K798" s="194"/>
      <c r="L798" s="194"/>
      <c r="M798" s="195"/>
    </row>
    <row r="799" customFormat="false" ht="15.75" hidden="false" customHeight="false" outlineLevel="0" collapsed="false">
      <c r="E799" s="193"/>
      <c r="J799" s="194"/>
      <c r="K799" s="194"/>
      <c r="L799" s="194"/>
      <c r="M799" s="195"/>
    </row>
    <row r="800" customFormat="false" ht="15.75" hidden="false" customHeight="false" outlineLevel="0" collapsed="false">
      <c r="E800" s="193"/>
      <c r="J800" s="194"/>
      <c r="K800" s="194"/>
      <c r="L800" s="194"/>
      <c r="M800" s="195"/>
    </row>
    <row r="801" customFormat="false" ht="15.75" hidden="false" customHeight="false" outlineLevel="0" collapsed="false">
      <c r="E801" s="193"/>
      <c r="J801" s="194"/>
      <c r="K801" s="194"/>
      <c r="L801" s="194"/>
      <c r="M801" s="195"/>
    </row>
    <row r="802" customFormat="false" ht="15.75" hidden="false" customHeight="false" outlineLevel="0" collapsed="false">
      <c r="E802" s="193"/>
      <c r="J802" s="194"/>
      <c r="K802" s="194"/>
      <c r="L802" s="194"/>
      <c r="M802" s="195"/>
    </row>
    <row r="803" customFormat="false" ht="15.75" hidden="false" customHeight="false" outlineLevel="0" collapsed="false">
      <c r="E803" s="193"/>
      <c r="J803" s="194"/>
      <c r="K803" s="194"/>
      <c r="L803" s="194"/>
      <c r="M803" s="195"/>
    </row>
    <row r="804" customFormat="false" ht="15.75" hidden="false" customHeight="false" outlineLevel="0" collapsed="false">
      <c r="E804" s="193"/>
      <c r="J804" s="194"/>
      <c r="K804" s="194"/>
      <c r="L804" s="194"/>
      <c r="M804" s="195"/>
    </row>
    <row r="805" customFormat="false" ht="15.75" hidden="false" customHeight="false" outlineLevel="0" collapsed="false">
      <c r="E805" s="193"/>
      <c r="J805" s="194"/>
      <c r="K805" s="194"/>
      <c r="L805" s="194"/>
      <c r="M805" s="195"/>
    </row>
    <row r="806" customFormat="false" ht="15.75" hidden="false" customHeight="false" outlineLevel="0" collapsed="false">
      <c r="E806" s="193"/>
      <c r="J806" s="194"/>
      <c r="K806" s="194"/>
      <c r="L806" s="194"/>
      <c r="M806" s="195"/>
    </row>
    <row r="807" customFormat="false" ht="15.75" hidden="false" customHeight="false" outlineLevel="0" collapsed="false">
      <c r="E807" s="193"/>
      <c r="J807" s="194"/>
      <c r="K807" s="194"/>
      <c r="L807" s="194"/>
      <c r="M807" s="195"/>
    </row>
    <row r="808" customFormat="false" ht="15.75" hidden="false" customHeight="false" outlineLevel="0" collapsed="false">
      <c r="E808" s="193"/>
      <c r="J808" s="194"/>
      <c r="K808" s="194"/>
      <c r="L808" s="194"/>
      <c r="M808" s="195"/>
    </row>
    <row r="809" customFormat="false" ht="15.75" hidden="false" customHeight="false" outlineLevel="0" collapsed="false">
      <c r="E809" s="193"/>
      <c r="J809" s="194"/>
      <c r="K809" s="194"/>
      <c r="L809" s="194"/>
      <c r="M809" s="195"/>
    </row>
    <row r="810" customFormat="false" ht="15.75" hidden="false" customHeight="false" outlineLevel="0" collapsed="false">
      <c r="E810" s="193"/>
      <c r="J810" s="194"/>
      <c r="K810" s="194"/>
      <c r="L810" s="194"/>
      <c r="M810" s="195"/>
    </row>
    <row r="811" customFormat="false" ht="15.75" hidden="false" customHeight="false" outlineLevel="0" collapsed="false">
      <c r="E811" s="193"/>
      <c r="J811" s="194"/>
      <c r="K811" s="194"/>
      <c r="L811" s="194"/>
      <c r="M811" s="195"/>
    </row>
    <row r="812" customFormat="false" ht="15.75" hidden="false" customHeight="false" outlineLevel="0" collapsed="false">
      <c r="E812" s="193"/>
      <c r="J812" s="194"/>
      <c r="K812" s="194"/>
      <c r="L812" s="194"/>
      <c r="M812" s="195"/>
    </row>
    <row r="813" customFormat="false" ht="15.75" hidden="false" customHeight="false" outlineLevel="0" collapsed="false">
      <c r="E813" s="193"/>
      <c r="J813" s="194"/>
      <c r="K813" s="194"/>
      <c r="L813" s="194"/>
      <c r="M813" s="195"/>
    </row>
    <row r="814" customFormat="false" ht="15.75" hidden="false" customHeight="false" outlineLevel="0" collapsed="false">
      <c r="E814" s="193"/>
      <c r="J814" s="194"/>
      <c r="K814" s="194"/>
      <c r="L814" s="194"/>
      <c r="M814" s="195"/>
    </row>
    <row r="815" customFormat="false" ht="15.75" hidden="false" customHeight="false" outlineLevel="0" collapsed="false">
      <c r="E815" s="193"/>
      <c r="J815" s="194"/>
      <c r="K815" s="194"/>
      <c r="L815" s="194"/>
      <c r="M815" s="195"/>
    </row>
    <row r="816" customFormat="false" ht="15.75" hidden="false" customHeight="false" outlineLevel="0" collapsed="false">
      <c r="E816" s="193"/>
      <c r="J816" s="194"/>
      <c r="K816" s="194"/>
      <c r="L816" s="194"/>
      <c r="M816" s="195"/>
    </row>
    <row r="817" customFormat="false" ht="15.75" hidden="false" customHeight="false" outlineLevel="0" collapsed="false">
      <c r="E817" s="193"/>
      <c r="J817" s="194"/>
      <c r="K817" s="194"/>
      <c r="L817" s="194"/>
      <c r="M817" s="195"/>
    </row>
    <row r="818" customFormat="false" ht="15.75" hidden="false" customHeight="false" outlineLevel="0" collapsed="false">
      <c r="E818" s="193"/>
      <c r="J818" s="194"/>
      <c r="K818" s="194"/>
      <c r="L818" s="194"/>
      <c r="M818" s="195"/>
    </row>
    <row r="819" customFormat="false" ht="15.75" hidden="false" customHeight="false" outlineLevel="0" collapsed="false">
      <c r="E819" s="193"/>
      <c r="J819" s="194"/>
      <c r="K819" s="194"/>
      <c r="L819" s="194"/>
      <c r="M819" s="195"/>
    </row>
    <row r="820" customFormat="false" ht="15.75" hidden="false" customHeight="false" outlineLevel="0" collapsed="false">
      <c r="E820" s="193"/>
      <c r="J820" s="194"/>
      <c r="K820" s="194"/>
      <c r="L820" s="194"/>
      <c r="M820" s="195"/>
    </row>
    <row r="821" customFormat="false" ht="15.75" hidden="false" customHeight="false" outlineLevel="0" collapsed="false">
      <c r="E821" s="193"/>
      <c r="J821" s="194"/>
      <c r="K821" s="194"/>
      <c r="L821" s="194"/>
      <c r="M821" s="195"/>
    </row>
    <row r="822" customFormat="false" ht="15.75" hidden="false" customHeight="false" outlineLevel="0" collapsed="false">
      <c r="E822" s="193"/>
      <c r="J822" s="194"/>
      <c r="K822" s="194"/>
      <c r="L822" s="194"/>
      <c r="M822" s="195"/>
    </row>
    <row r="823" customFormat="false" ht="15.75" hidden="false" customHeight="false" outlineLevel="0" collapsed="false">
      <c r="E823" s="193"/>
      <c r="J823" s="194"/>
      <c r="K823" s="194"/>
      <c r="L823" s="194"/>
      <c r="M823" s="195"/>
    </row>
    <row r="824" customFormat="false" ht="15.75" hidden="false" customHeight="false" outlineLevel="0" collapsed="false">
      <c r="E824" s="193"/>
      <c r="J824" s="194"/>
      <c r="K824" s="194"/>
      <c r="L824" s="194"/>
      <c r="M824" s="195"/>
    </row>
    <row r="825" customFormat="false" ht="15.75" hidden="false" customHeight="false" outlineLevel="0" collapsed="false">
      <c r="E825" s="193"/>
      <c r="J825" s="194"/>
      <c r="K825" s="194"/>
      <c r="L825" s="194"/>
      <c r="M825" s="195"/>
    </row>
    <row r="826" customFormat="false" ht="15.75" hidden="false" customHeight="false" outlineLevel="0" collapsed="false">
      <c r="E826" s="193"/>
      <c r="J826" s="194"/>
      <c r="K826" s="194"/>
      <c r="L826" s="194"/>
      <c r="M826" s="195"/>
    </row>
    <row r="827" customFormat="false" ht="15.75" hidden="false" customHeight="false" outlineLevel="0" collapsed="false">
      <c r="E827" s="193"/>
      <c r="J827" s="194"/>
      <c r="K827" s="194"/>
      <c r="L827" s="194"/>
      <c r="M827" s="195"/>
    </row>
    <row r="828" customFormat="false" ht="15.75" hidden="false" customHeight="false" outlineLevel="0" collapsed="false">
      <c r="E828" s="193"/>
      <c r="J828" s="194"/>
      <c r="K828" s="194"/>
      <c r="L828" s="194"/>
      <c r="M828" s="195"/>
    </row>
    <row r="829" customFormat="false" ht="15.75" hidden="false" customHeight="false" outlineLevel="0" collapsed="false">
      <c r="E829" s="193"/>
      <c r="J829" s="194"/>
      <c r="K829" s="194"/>
      <c r="L829" s="194"/>
      <c r="M829" s="195"/>
    </row>
    <row r="830" customFormat="false" ht="15.75" hidden="false" customHeight="false" outlineLevel="0" collapsed="false">
      <c r="E830" s="193"/>
      <c r="J830" s="194"/>
      <c r="K830" s="194"/>
      <c r="L830" s="194"/>
      <c r="M830" s="195"/>
    </row>
    <row r="831" customFormat="false" ht="15.75" hidden="false" customHeight="false" outlineLevel="0" collapsed="false">
      <c r="E831" s="193"/>
      <c r="J831" s="194"/>
      <c r="K831" s="194"/>
      <c r="L831" s="194"/>
      <c r="M831" s="195"/>
    </row>
    <row r="832" customFormat="false" ht="15.75" hidden="false" customHeight="false" outlineLevel="0" collapsed="false">
      <c r="E832" s="193"/>
      <c r="J832" s="194"/>
      <c r="K832" s="194"/>
      <c r="L832" s="194"/>
      <c r="M832" s="195"/>
    </row>
    <row r="833" customFormat="false" ht="15.75" hidden="false" customHeight="false" outlineLevel="0" collapsed="false">
      <c r="E833" s="193"/>
      <c r="J833" s="194"/>
      <c r="K833" s="194"/>
      <c r="L833" s="194"/>
      <c r="M833" s="195"/>
    </row>
    <row r="834" customFormat="false" ht="15.75" hidden="false" customHeight="false" outlineLevel="0" collapsed="false">
      <c r="E834" s="193"/>
      <c r="J834" s="194"/>
      <c r="K834" s="194"/>
      <c r="L834" s="194"/>
      <c r="M834" s="195"/>
    </row>
    <row r="835" customFormat="false" ht="15.75" hidden="false" customHeight="false" outlineLevel="0" collapsed="false">
      <c r="E835" s="193"/>
      <c r="J835" s="194"/>
      <c r="K835" s="194"/>
      <c r="L835" s="194"/>
      <c r="M835" s="195"/>
    </row>
    <row r="836" customFormat="false" ht="15.75" hidden="false" customHeight="false" outlineLevel="0" collapsed="false">
      <c r="E836" s="193"/>
      <c r="J836" s="194"/>
      <c r="K836" s="194"/>
      <c r="L836" s="194"/>
      <c r="M836" s="195"/>
    </row>
    <row r="837" customFormat="false" ht="15.75" hidden="false" customHeight="false" outlineLevel="0" collapsed="false">
      <c r="E837" s="193"/>
      <c r="J837" s="194"/>
      <c r="K837" s="194"/>
      <c r="L837" s="194"/>
      <c r="M837" s="195"/>
    </row>
    <row r="838" customFormat="false" ht="15.75" hidden="false" customHeight="false" outlineLevel="0" collapsed="false">
      <c r="E838" s="193"/>
      <c r="J838" s="194"/>
      <c r="K838" s="194"/>
      <c r="L838" s="194"/>
      <c r="M838" s="195"/>
    </row>
    <row r="839" customFormat="false" ht="15.75" hidden="false" customHeight="false" outlineLevel="0" collapsed="false">
      <c r="E839" s="193"/>
      <c r="J839" s="194"/>
      <c r="K839" s="194"/>
      <c r="L839" s="194"/>
      <c r="M839" s="195"/>
    </row>
    <row r="840" customFormat="false" ht="15.75" hidden="false" customHeight="false" outlineLevel="0" collapsed="false">
      <c r="E840" s="193"/>
      <c r="J840" s="194"/>
      <c r="K840" s="194"/>
      <c r="L840" s="194"/>
      <c r="M840" s="195"/>
    </row>
    <row r="841" customFormat="false" ht="15.75" hidden="false" customHeight="false" outlineLevel="0" collapsed="false">
      <c r="E841" s="193"/>
      <c r="J841" s="194"/>
      <c r="K841" s="194"/>
      <c r="L841" s="194"/>
      <c r="M841" s="195"/>
    </row>
    <row r="842" customFormat="false" ht="15.75" hidden="false" customHeight="false" outlineLevel="0" collapsed="false">
      <c r="E842" s="193"/>
      <c r="J842" s="194"/>
      <c r="K842" s="194"/>
      <c r="L842" s="194"/>
      <c r="M842" s="195"/>
    </row>
    <row r="843" customFormat="false" ht="15.75" hidden="false" customHeight="false" outlineLevel="0" collapsed="false">
      <c r="E843" s="193"/>
      <c r="J843" s="194"/>
      <c r="K843" s="194"/>
      <c r="L843" s="194"/>
      <c r="M843" s="195"/>
    </row>
    <row r="844" customFormat="false" ht="15.75" hidden="false" customHeight="false" outlineLevel="0" collapsed="false">
      <c r="E844" s="193"/>
      <c r="J844" s="194"/>
      <c r="K844" s="194"/>
      <c r="L844" s="194"/>
      <c r="M844" s="195"/>
    </row>
    <row r="845" customFormat="false" ht="15.75" hidden="false" customHeight="false" outlineLevel="0" collapsed="false">
      <c r="E845" s="193"/>
      <c r="J845" s="194"/>
      <c r="K845" s="194"/>
      <c r="L845" s="194"/>
      <c r="M845" s="195"/>
    </row>
    <row r="846" customFormat="false" ht="15.75" hidden="false" customHeight="false" outlineLevel="0" collapsed="false">
      <c r="E846" s="193"/>
      <c r="J846" s="194"/>
      <c r="K846" s="194"/>
      <c r="L846" s="194"/>
      <c r="M846" s="195"/>
    </row>
    <row r="847" customFormat="false" ht="15.75" hidden="false" customHeight="false" outlineLevel="0" collapsed="false">
      <c r="E847" s="193"/>
      <c r="J847" s="194"/>
      <c r="K847" s="194"/>
      <c r="L847" s="194"/>
      <c r="M847" s="195"/>
    </row>
    <row r="848" customFormat="false" ht="15.75" hidden="false" customHeight="false" outlineLevel="0" collapsed="false">
      <c r="E848" s="193"/>
      <c r="J848" s="194"/>
      <c r="K848" s="194"/>
      <c r="L848" s="194"/>
      <c r="M848" s="195"/>
    </row>
    <row r="849" customFormat="false" ht="15.75" hidden="false" customHeight="false" outlineLevel="0" collapsed="false">
      <c r="E849" s="193"/>
      <c r="J849" s="194"/>
      <c r="K849" s="194"/>
      <c r="L849" s="194"/>
      <c r="M849" s="195"/>
    </row>
    <row r="850" customFormat="false" ht="15.75" hidden="false" customHeight="false" outlineLevel="0" collapsed="false">
      <c r="E850" s="193"/>
      <c r="J850" s="194"/>
      <c r="K850" s="194"/>
      <c r="L850" s="194"/>
      <c r="M850" s="195"/>
    </row>
    <row r="851" customFormat="false" ht="15.75" hidden="false" customHeight="false" outlineLevel="0" collapsed="false">
      <c r="E851" s="193"/>
      <c r="J851" s="194"/>
      <c r="K851" s="194"/>
      <c r="L851" s="194"/>
      <c r="M851" s="195"/>
    </row>
    <row r="852" customFormat="false" ht="15.75" hidden="false" customHeight="false" outlineLevel="0" collapsed="false">
      <c r="E852" s="193"/>
      <c r="J852" s="194"/>
      <c r="K852" s="194"/>
      <c r="L852" s="194"/>
      <c r="M852" s="195"/>
    </row>
    <row r="853" customFormat="false" ht="15.75" hidden="false" customHeight="false" outlineLevel="0" collapsed="false">
      <c r="E853" s="193"/>
      <c r="J853" s="194"/>
      <c r="K853" s="194"/>
      <c r="L853" s="194"/>
      <c r="M853" s="195"/>
    </row>
    <row r="854" customFormat="false" ht="15.75" hidden="false" customHeight="false" outlineLevel="0" collapsed="false">
      <c r="E854" s="193"/>
      <c r="J854" s="194"/>
      <c r="K854" s="194"/>
      <c r="L854" s="194"/>
      <c r="M854" s="195"/>
    </row>
    <row r="855" customFormat="false" ht="15.75" hidden="false" customHeight="false" outlineLevel="0" collapsed="false">
      <c r="E855" s="193"/>
      <c r="J855" s="194"/>
      <c r="K855" s="194"/>
      <c r="L855" s="194"/>
      <c r="M855" s="195"/>
    </row>
    <row r="856" customFormat="false" ht="15.75" hidden="false" customHeight="false" outlineLevel="0" collapsed="false">
      <c r="E856" s="193"/>
      <c r="J856" s="194"/>
      <c r="K856" s="194"/>
      <c r="L856" s="194"/>
      <c r="M856" s="195"/>
    </row>
    <row r="857" customFormat="false" ht="15.75" hidden="false" customHeight="false" outlineLevel="0" collapsed="false">
      <c r="E857" s="193"/>
      <c r="J857" s="194"/>
      <c r="K857" s="194"/>
      <c r="L857" s="194"/>
      <c r="M857" s="195"/>
    </row>
    <row r="858" customFormat="false" ht="15.75" hidden="false" customHeight="false" outlineLevel="0" collapsed="false">
      <c r="E858" s="193"/>
      <c r="J858" s="194"/>
      <c r="K858" s="194"/>
      <c r="L858" s="194"/>
      <c r="M858" s="195"/>
    </row>
    <row r="859" customFormat="false" ht="15.75" hidden="false" customHeight="false" outlineLevel="0" collapsed="false">
      <c r="E859" s="193"/>
      <c r="J859" s="194"/>
      <c r="K859" s="194"/>
      <c r="L859" s="194"/>
      <c r="M859" s="195"/>
    </row>
    <row r="860" customFormat="false" ht="15.75" hidden="false" customHeight="false" outlineLevel="0" collapsed="false">
      <c r="E860" s="193"/>
      <c r="J860" s="194"/>
      <c r="K860" s="194"/>
      <c r="L860" s="194"/>
      <c r="M860" s="195"/>
    </row>
    <row r="861" customFormat="false" ht="15.75" hidden="false" customHeight="false" outlineLevel="0" collapsed="false">
      <c r="E861" s="193"/>
      <c r="J861" s="194"/>
      <c r="K861" s="194"/>
      <c r="L861" s="194"/>
      <c r="M861" s="195"/>
    </row>
    <row r="862" customFormat="false" ht="15.75" hidden="false" customHeight="false" outlineLevel="0" collapsed="false">
      <c r="E862" s="193"/>
      <c r="J862" s="194"/>
      <c r="K862" s="194"/>
      <c r="L862" s="194"/>
      <c r="M862" s="195"/>
    </row>
    <row r="863" customFormat="false" ht="15.75" hidden="false" customHeight="false" outlineLevel="0" collapsed="false">
      <c r="E863" s="193"/>
      <c r="J863" s="194"/>
      <c r="K863" s="194"/>
      <c r="L863" s="194"/>
      <c r="M863" s="195"/>
    </row>
    <row r="864" customFormat="false" ht="15.75" hidden="false" customHeight="false" outlineLevel="0" collapsed="false">
      <c r="E864" s="193"/>
      <c r="J864" s="194"/>
      <c r="K864" s="194"/>
      <c r="L864" s="194"/>
      <c r="M864" s="195"/>
    </row>
    <row r="865" customFormat="false" ht="15.75" hidden="false" customHeight="false" outlineLevel="0" collapsed="false">
      <c r="E865" s="193"/>
      <c r="J865" s="194"/>
      <c r="K865" s="194"/>
      <c r="L865" s="194"/>
      <c r="M865" s="195"/>
    </row>
    <row r="866" customFormat="false" ht="15.75" hidden="false" customHeight="false" outlineLevel="0" collapsed="false">
      <c r="E866" s="193"/>
      <c r="J866" s="194"/>
      <c r="K866" s="194"/>
      <c r="L866" s="194"/>
      <c r="M866" s="195"/>
    </row>
    <row r="867" customFormat="false" ht="15.75" hidden="false" customHeight="false" outlineLevel="0" collapsed="false">
      <c r="E867" s="193"/>
      <c r="J867" s="194"/>
      <c r="K867" s="194"/>
      <c r="L867" s="194"/>
      <c r="M867" s="195"/>
    </row>
    <row r="868" customFormat="false" ht="15.75" hidden="false" customHeight="false" outlineLevel="0" collapsed="false">
      <c r="E868" s="193"/>
      <c r="J868" s="194"/>
      <c r="K868" s="194"/>
      <c r="L868" s="194"/>
      <c r="M868" s="195"/>
    </row>
    <row r="869" customFormat="false" ht="15.75" hidden="false" customHeight="false" outlineLevel="0" collapsed="false">
      <c r="E869" s="193"/>
      <c r="J869" s="194"/>
      <c r="K869" s="194"/>
      <c r="L869" s="194"/>
      <c r="M869" s="195"/>
    </row>
    <row r="870" customFormat="false" ht="15.75" hidden="false" customHeight="false" outlineLevel="0" collapsed="false">
      <c r="E870" s="193"/>
      <c r="J870" s="194"/>
      <c r="K870" s="194"/>
      <c r="L870" s="194"/>
      <c r="M870" s="195"/>
    </row>
    <row r="871" customFormat="false" ht="15.75" hidden="false" customHeight="false" outlineLevel="0" collapsed="false">
      <c r="E871" s="193"/>
      <c r="J871" s="194"/>
      <c r="K871" s="194"/>
      <c r="L871" s="194"/>
      <c r="M871" s="195"/>
    </row>
    <row r="872" customFormat="false" ht="15.75" hidden="false" customHeight="false" outlineLevel="0" collapsed="false">
      <c r="E872" s="193"/>
      <c r="J872" s="194"/>
      <c r="K872" s="194"/>
      <c r="L872" s="194"/>
      <c r="M872" s="195"/>
    </row>
    <row r="873" customFormat="false" ht="15.75" hidden="false" customHeight="false" outlineLevel="0" collapsed="false">
      <c r="E873" s="193"/>
      <c r="J873" s="194"/>
      <c r="K873" s="194"/>
      <c r="L873" s="194"/>
      <c r="M873" s="195"/>
    </row>
    <row r="874" customFormat="false" ht="15.75" hidden="false" customHeight="false" outlineLevel="0" collapsed="false">
      <c r="E874" s="193"/>
      <c r="J874" s="194"/>
      <c r="K874" s="194"/>
      <c r="L874" s="194"/>
      <c r="M874" s="195"/>
    </row>
    <row r="875" customFormat="false" ht="15.75" hidden="false" customHeight="false" outlineLevel="0" collapsed="false">
      <c r="E875" s="193"/>
      <c r="J875" s="194"/>
      <c r="K875" s="194"/>
      <c r="L875" s="194"/>
      <c r="M875" s="195"/>
    </row>
    <row r="876" customFormat="false" ht="15.75" hidden="false" customHeight="false" outlineLevel="0" collapsed="false">
      <c r="E876" s="193"/>
      <c r="J876" s="194"/>
      <c r="K876" s="194"/>
      <c r="L876" s="194"/>
      <c r="M876" s="195"/>
    </row>
    <row r="877" customFormat="false" ht="15.75" hidden="false" customHeight="false" outlineLevel="0" collapsed="false">
      <c r="E877" s="193"/>
      <c r="J877" s="194"/>
      <c r="K877" s="194"/>
      <c r="L877" s="194"/>
      <c r="M877" s="195"/>
    </row>
    <row r="878" customFormat="false" ht="15.75" hidden="false" customHeight="false" outlineLevel="0" collapsed="false">
      <c r="E878" s="193"/>
      <c r="J878" s="194"/>
      <c r="K878" s="194"/>
      <c r="L878" s="194"/>
      <c r="M878" s="195"/>
    </row>
    <row r="879" customFormat="false" ht="15.75" hidden="false" customHeight="false" outlineLevel="0" collapsed="false">
      <c r="E879" s="193"/>
      <c r="J879" s="194"/>
      <c r="K879" s="194"/>
      <c r="L879" s="194"/>
      <c r="M879" s="195"/>
    </row>
    <row r="880" customFormat="false" ht="15.75" hidden="false" customHeight="false" outlineLevel="0" collapsed="false">
      <c r="E880" s="193"/>
      <c r="J880" s="194"/>
      <c r="K880" s="194"/>
      <c r="L880" s="194"/>
      <c r="M880" s="195"/>
    </row>
    <row r="881" customFormat="false" ht="15.75" hidden="false" customHeight="false" outlineLevel="0" collapsed="false">
      <c r="E881" s="193"/>
      <c r="J881" s="194"/>
      <c r="K881" s="194"/>
      <c r="L881" s="194"/>
      <c r="M881" s="195"/>
    </row>
    <row r="882" customFormat="false" ht="15.75" hidden="false" customHeight="false" outlineLevel="0" collapsed="false">
      <c r="E882" s="193"/>
      <c r="J882" s="194"/>
      <c r="K882" s="194"/>
      <c r="L882" s="194"/>
      <c r="M882" s="195"/>
    </row>
    <row r="883" customFormat="false" ht="15.75" hidden="false" customHeight="false" outlineLevel="0" collapsed="false">
      <c r="E883" s="193"/>
      <c r="J883" s="194"/>
      <c r="K883" s="194"/>
      <c r="L883" s="194"/>
      <c r="M883" s="195"/>
    </row>
    <row r="884" customFormat="false" ht="15.75" hidden="false" customHeight="false" outlineLevel="0" collapsed="false">
      <c r="E884" s="193"/>
      <c r="J884" s="194"/>
      <c r="K884" s="194"/>
      <c r="L884" s="194"/>
      <c r="M884" s="195"/>
    </row>
    <row r="885" customFormat="false" ht="15.75" hidden="false" customHeight="false" outlineLevel="0" collapsed="false">
      <c r="E885" s="193"/>
      <c r="J885" s="194"/>
      <c r="K885" s="194"/>
      <c r="L885" s="194"/>
      <c r="M885" s="195"/>
    </row>
    <row r="886" customFormat="false" ht="15.75" hidden="false" customHeight="false" outlineLevel="0" collapsed="false">
      <c r="E886" s="193"/>
      <c r="J886" s="194"/>
      <c r="K886" s="194"/>
      <c r="L886" s="194"/>
      <c r="M886" s="195"/>
    </row>
    <row r="887" customFormat="false" ht="15.75" hidden="false" customHeight="false" outlineLevel="0" collapsed="false">
      <c r="E887" s="193"/>
      <c r="J887" s="194"/>
      <c r="K887" s="194"/>
      <c r="L887" s="194"/>
      <c r="M887" s="195"/>
    </row>
    <row r="888" customFormat="false" ht="15.75" hidden="false" customHeight="false" outlineLevel="0" collapsed="false">
      <c r="E888" s="193"/>
      <c r="J888" s="194"/>
      <c r="K888" s="194"/>
      <c r="L888" s="194"/>
      <c r="M888" s="195"/>
    </row>
    <row r="889" customFormat="false" ht="15.75" hidden="false" customHeight="false" outlineLevel="0" collapsed="false">
      <c r="E889" s="193"/>
      <c r="J889" s="194"/>
      <c r="K889" s="194"/>
      <c r="L889" s="194"/>
      <c r="M889" s="195"/>
    </row>
    <row r="890" customFormat="false" ht="15.75" hidden="false" customHeight="false" outlineLevel="0" collapsed="false">
      <c r="E890" s="193"/>
      <c r="J890" s="194"/>
      <c r="K890" s="194"/>
      <c r="L890" s="194"/>
      <c r="M890" s="195"/>
    </row>
    <row r="891" customFormat="false" ht="15.75" hidden="false" customHeight="false" outlineLevel="0" collapsed="false">
      <c r="E891" s="193"/>
      <c r="J891" s="194"/>
      <c r="K891" s="194"/>
      <c r="L891" s="194"/>
      <c r="M891" s="195"/>
    </row>
    <row r="892" customFormat="false" ht="15.75" hidden="false" customHeight="false" outlineLevel="0" collapsed="false">
      <c r="E892" s="193"/>
      <c r="J892" s="194"/>
      <c r="K892" s="194"/>
      <c r="L892" s="194"/>
      <c r="M892" s="195"/>
    </row>
    <row r="893" customFormat="false" ht="15.75" hidden="false" customHeight="false" outlineLevel="0" collapsed="false">
      <c r="E893" s="193"/>
      <c r="J893" s="194"/>
      <c r="K893" s="194"/>
      <c r="L893" s="194"/>
      <c r="M893" s="195"/>
    </row>
    <row r="894" customFormat="false" ht="15.75" hidden="false" customHeight="false" outlineLevel="0" collapsed="false">
      <c r="E894" s="193"/>
      <c r="J894" s="194"/>
      <c r="K894" s="194"/>
      <c r="L894" s="194"/>
      <c r="M894" s="195"/>
    </row>
    <row r="895" customFormat="false" ht="15.75" hidden="false" customHeight="false" outlineLevel="0" collapsed="false">
      <c r="E895" s="193"/>
      <c r="J895" s="194"/>
      <c r="K895" s="194"/>
      <c r="L895" s="194"/>
      <c r="M895" s="195"/>
    </row>
    <row r="896" customFormat="false" ht="15.75" hidden="false" customHeight="false" outlineLevel="0" collapsed="false">
      <c r="E896" s="193"/>
      <c r="J896" s="194"/>
      <c r="K896" s="194"/>
      <c r="L896" s="194"/>
      <c r="M896" s="195"/>
    </row>
    <row r="897" customFormat="false" ht="15.75" hidden="false" customHeight="false" outlineLevel="0" collapsed="false">
      <c r="E897" s="193"/>
      <c r="J897" s="194"/>
      <c r="K897" s="194"/>
      <c r="L897" s="194"/>
      <c r="M897" s="195"/>
    </row>
    <row r="898" customFormat="false" ht="15.75" hidden="false" customHeight="false" outlineLevel="0" collapsed="false">
      <c r="E898" s="193"/>
      <c r="J898" s="194"/>
      <c r="K898" s="194"/>
      <c r="L898" s="194"/>
      <c r="M898" s="195"/>
    </row>
    <row r="899" customFormat="false" ht="15.75" hidden="false" customHeight="false" outlineLevel="0" collapsed="false">
      <c r="E899" s="193"/>
      <c r="J899" s="194"/>
      <c r="K899" s="194"/>
      <c r="L899" s="194"/>
      <c r="M899" s="195"/>
    </row>
    <row r="900" customFormat="false" ht="15.75" hidden="false" customHeight="false" outlineLevel="0" collapsed="false">
      <c r="E900" s="193"/>
      <c r="J900" s="194"/>
      <c r="K900" s="194"/>
      <c r="L900" s="194"/>
      <c r="M900" s="195"/>
    </row>
    <row r="901" customFormat="false" ht="15.75" hidden="false" customHeight="false" outlineLevel="0" collapsed="false">
      <c r="E901" s="193"/>
      <c r="J901" s="194"/>
      <c r="K901" s="194"/>
      <c r="L901" s="194"/>
      <c r="M901" s="195"/>
    </row>
    <row r="902" customFormat="false" ht="15.75" hidden="false" customHeight="false" outlineLevel="0" collapsed="false">
      <c r="E902" s="193"/>
      <c r="J902" s="194"/>
      <c r="K902" s="194"/>
      <c r="L902" s="194"/>
      <c r="M902" s="195"/>
    </row>
    <row r="903" customFormat="false" ht="15.75" hidden="false" customHeight="false" outlineLevel="0" collapsed="false">
      <c r="E903" s="193"/>
      <c r="J903" s="194"/>
      <c r="K903" s="194"/>
      <c r="L903" s="194"/>
      <c r="M903" s="195"/>
    </row>
    <row r="904" customFormat="false" ht="15.75" hidden="false" customHeight="false" outlineLevel="0" collapsed="false">
      <c r="E904" s="193"/>
      <c r="J904" s="194"/>
      <c r="K904" s="194"/>
      <c r="L904" s="194"/>
      <c r="M904" s="195"/>
    </row>
    <row r="905" customFormat="false" ht="15.75" hidden="false" customHeight="false" outlineLevel="0" collapsed="false">
      <c r="E905" s="193"/>
      <c r="J905" s="194"/>
      <c r="K905" s="194"/>
      <c r="L905" s="194"/>
      <c r="M905" s="195"/>
    </row>
    <row r="906" customFormat="false" ht="15.75" hidden="false" customHeight="false" outlineLevel="0" collapsed="false">
      <c r="E906" s="193"/>
      <c r="J906" s="194"/>
      <c r="K906" s="194"/>
      <c r="L906" s="194"/>
      <c r="M906" s="195"/>
    </row>
    <row r="907" customFormat="false" ht="15.75" hidden="false" customHeight="false" outlineLevel="0" collapsed="false">
      <c r="E907" s="193"/>
      <c r="J907" s="194"/>
      <c r="K907" s="194"/>
      <c r="L907" s="194"/>
      <c r="M907" s="195"/>
    </row>
    <row r="908" customFormat="false" ht="15.75" hidden="false" customHeight="false" outlineLevel="0" collapsed="false">
      <c r="E908" s="193"/>
      <c r="J908" s="194"/>
      <c r="K908" s="194"/>
      <c r="L908" s="194"/>
      <c r="M908" s="195"/>
    </row>
    <row r="909" customFormat="false" ht="15.75" hidden="false" customHeight="false" outlineLevel="0" collapsed="false">
      <c r="E909" s="193"/>
      <c r="J909" s="194"/>
      <c r="K909" s="194"/>
      <c r="L909" s="194"/>
      <c r="M909" s="195"/>
    </row>
    <row r="910" customFormat="false" ht="15.75" hidden="false" customHeight="false" outlineLevel="0" collapsed="false">
      <c r="E910" s="193"/>
      <c r="J910" s="194"/>
      <c r="K910" s="194"/>
      <c r="L910" s="194"/>
      <c r="M910" s="195"/>
    </row>
    <row r="911" customFormat="false" ht="15.75" hidden="false" customHeight="false" outlineLevel="0" collapsed="false">
      <c r="E911" s="193"/>
      <c r="J911" s="194"/>
      <c r="K911" s="194"/>
      <c r="L911" s="194"/>
      <c r="M911" s="195"/>
    </row>
    <row r="912" customFormat="false" ht="15.75" hidden="false" customHeight="false" outlineLevel="0" collapsed="false">
      <c r="E912" s="193"/>
      <c r="J912" s="194"/>
      <c r="K912" s="194"/>
      <c r="L912" s="194"/>
      <c r="M912" s="195"/>
    </row>
    <row r="913" customFormat="false" ht="15.75" hidden="false" customHeight="false" outlineLevel="0" collapsed="false">
      <c r="E913" s="193"/>
      <c r="J913" s="194"/>
      <c r="K913" s="194"/>
      <c r="L913" s="194"/>
      <c r="M913" s="195"/>
    </row>
    <row r="914" customFormat="false" ht="15.75" hidden="false" customHeight="false" outlineLevel="0" collapsed="false">
      <c r="E914" s="193"/>
      <c r="J914" s="194"/>
      <c r="K914" s="194"/>
      <c r="L914" s="194"/>
      <c r="M914" s="195"/>
    </row>
    <row r="915" customFormat="false" ht="15.75" hidden="false" customHeight="false" outlineLevel="0" collapsed="false">
      <c r="E915" s="193"/>
      <c r="J915" s="194"/>
      <c r="K915" s="194"/>
      <c r="L915" s="194"/>
      <c r="M915" s="195"/>
    </row>
    <row r="916" customFormat="false" ht="15.75" hidden="false" customHeight="false" outlineLevel="0" collapsed="false">
      <c r="E916" s="193"/>
      <c r="J916" s="194"/>
      <c r="K916" s="194"/>
      <c r="L916" s="194"/>
      <c r="M916" s="195"/>
    </row>
    <row r="917" customFormat="false" ht="15.75" hidden="false" customHeight="false" outlineLevel="0" collapsed="false">
      <c r="E917" s="193"/>
      <c r="J917" s="194"/>
      <c r="K917" s="194"/>
      <c r="L917" s="194"/>
      <c r="M917" s="195"/>
    </row>
    <row r="918" customFormat="false" ht="15.75" hidden="false" customHeight="false" outlineLevel="0" collapsed="false">
      <c r="E918" s="193"/>
      <c r="J918" s="194"/>
      <c r="K918" s="194"/>
      <c r="L918" s="194"/>
      <c r="M918" s="195"/>
    </row>
    <row r="919" customFormat="false" ht="15.75" hidden="false" customHeight="false" outlineLevel="0" collapsed="false">
      <c r="E919" s="193"/>
      <c r="J919" s="194"/>
      <c r="K919" s="194"/>
      <c r="L919" s="194"/>
      <c r="M919" s="195"/>
    </row>
    <row r="920" customFormat="false" ht="15.75" hidden="false" customHeight="false" outlineLevel="0" collapsed="false">
      <c r="E920" s="193"/>
      <c r="J920" s="194"/>
      <c r="K920" s="194"/>
      <c r="L920" s="194"/>
      <c r="M920" s="195"/>
    </row>
    <row r="921" customFormat="false" ht="15.75" hidden="false" customHeight="false" outlineLevel="0" collapsed="false">
      <c r="E921" s="193"/>
      <c r="J921" s="194"/>
      <c r="K921" s="194"/>
      <c r="L921" s="194"/>
      <c r="M921" s="195"/>
    </row>
    <row r="922" customFormat="false" ht="15.75" hidden="false" customHeight="false" outlineLevel="0" collapsed="false">
      <c r="E922" s="193"/>
      <c r="J922" s="194"/>
      <c r="K922" s="194"/>
      <c r="L922" s="194"/>
      <c r="M922" s="195"/>
    </row>
    <row r="923" customFormat="false" ht="15.75" hidden="false" customHeight="false" outlineLevel="0" collapsed="false">
      <c r="E923" s="193"/>
      <c r="J923" s="194"/>
      <c r="K923" s="194"/>
      <c r="L923" s="194"/>
      <c r="M923" s="195"/>
    </row>
    <row r="924" customFormat="false" ht="15.75" hidden="false" customHeight="false" outlineLevel="0" collapsed="false">
      <c r="E924" s="193"/>
      <c r="J924" s="194"/>
      <c r="K924" s="194"/>
      <c r="L924" s="194"/>
      <c r="M924" s="195"/>
    </row>
    <row r="925" customFormat="false" ht="15.75" hidden="false" customHeight="false" outlineLevel="0" collapsed="false">
      <c r="E925" s="193"/>
      <c r="J925" s="194"/>
      <c r="K925" s="194"/>
      <c r="L925" s="194"/>
      <c r="M925" s="195"/>
    </row>
    <row r="926" customFormat="false" ht="15.75" hidden="false" customHeight="false" outlineLevel="0" collapsed="false">
      <c r="E926" s="193"/>
      <c r="J926" s="194"/>
      <c r="K926" s="194"/>
      <c r="L926" s="194"/>
      <c r="M926" s="195"/>
    </row>
    <row r="927" customFormat="false" ht="15.75" hidden="false" customHeight="false" outlineLevel="0" collapsed="false">
      <c r="E927" s="193"/>
      <c r="J927" s="194"/>
      <c r="K927" s="194"/>
      <c r="L927" s="194"/>
      <c r="M927" s="195"/>
    </row>
    <row r="928" customFormat="false" ht="15.75" hidden="false" customHeight="false" outlineLevel="0" collapsed="false">
      <c r="E928" s="193"/>
      <c r="J928" s="194"/>
      <c r="K928" s="194"/>
      <c r="L928" s="194"/>
      <c r="M928" s="195"/>
    </row>
    <row r="929" customFormat="false" ht="15.75" hidden="false" customHeight="false" outlineLevel="0" collapsed="false">
      <c r="E929" s="193"/>
      <c r="J929" s="194"/>
      <c r="K929" s="194"/>
      <c r="L929" s="194"/>
      <c r="M929" s="195"/>
    </row>
    <row r="930" customFormat="false" ht="15.75" hidden="false" customHeight="false" outlineLevel="0" collapsed="false">
      <c r="E930" s="193"/>
      <c r="J930" s="194"/>
      <c r="K930" s="194"/>
      <c r="L930" s="194"/>
      <c r="M930" s="195"/>
    </row>
    <row r="931" customFormat="false" ht="15.75" hidden="false" customHeight="false" outlineLevel="0" collapsed="false">
      <c r="E931" s="193"/>
      <c r="J931" s="194"/>
      <c r="K931" s="194"/>
      <c r="L931" s="194"/>
      <c r="M931" s="195"/>
    </row>
    <row r="932" customFormat="false" ht="15.75" hidden="false" customHeight="false" outlineLevel="0" collapsed="false">
      <c r="E932" s="193"/>
      <c r="J932" s="194"/>
      <c r="K932" s="194"/>
      <c r="L932" s="194"/>
      <c r="M932" s="195"/>
    </row>
    <row r="933" customFormat="false" ht="15.75" hidden="false" customHeight="false" outlineLevel="0" collapsed="false">
      <c r="E933" s="193"/>
      <c r="J933" s="194"/>
      <c r="K933" s="194"/>
      <c r="L933" s="194"/>
      <c r="M933" s="195"/>
    </row>
    <row r="934" customFormat="false" ht="15.75" hidden="false" customHeight="false" outlineLevel="0" collapsed="false">
      <c r="E934" s="193"/>
      <c r="J934" s="194"/>
      <c r="K934" s="194"/>
      <c r="L934" s="194"/>
      <c r="M934" s="195"/>
    </row>
    <row r="935" customFormat="false" ht="15.75" hidden="false" customHeight="false" outlineLevel="0" collapsed="false">
      <c r="E935" s="193"/>
      <c r="J935" s="194"/>
      <c r="K935" s="194"/>
      <c r="L935" s="194"/>
      <c r="M935" s="195"/>
    </row>
    <row r="936" customFormat="false" ht="15.75" hidden="false" customHeight="false" outlineLevel="0" collapsed="false">
      <c r="E936" s="193"/>
      <c r="J936" s="194"/>
      <c r="K936" s="194"/>
      <c r="L936" s="194"/>
      <c r="M936" s="195"/>
    </row>
    <row r="937" customFormat="false" ht="15.75" hidden="false" customHeight="false" outlineLevel="0" collapsed="false">
      <c r="E937" s="193"/>
      <c r="J937" s="194"/>
      <c r="K937" s="194"/>
      <c r="L937" s="194"/>
      <c r="M937" s="195"/>
    </row>
    <row r="938" customFormat="false" ht="15.75" hidden="false" customHeight="false" outlineLevel="0" collapsed="false">
      <c r="E938" s="193"/>
      <c r="J938" s="194"/>
      <c r="K938" s="194"/>
      <c r="L938" s="194"/>
      <c r="M938" s="195"/>
    </row>
    <row r="939" customFormat="false" ht="15.75" hidden="false" customHeight="false" outlineLevel="0" collapsed="false">
      <c r="E939" s="193"/>
      <c r="J939" s="194"/>
      <c r="K939" s="194"/>
      <c r="L939" s="194"/>
      <c r="M939" s="195"/>
    </row>
    <row r="940" customFormat="false" ht="15.75" hidden="false" customHeight="false" outlineLevel="0" collapsed="false">
      <c r="E940" s="193"/>
      <c r="J940" s="194"/>
      <c r="K940" s="194"/>
      <c r="L940" s="194"/>
      <c r="M940" s="195"/>
    </row>
    <row r="941" customFormat="false" ht="15.75" hidden="false" customHeight="false" outlineLevel="0" collapsed="false">
      <c r="E941" s="193"/>
      <c r="J941" s="194"/>
      <c r="K941" s="194"/>
      <c r="L941" s="194"/>
      <c r="M941" s="195"/>
    </row>
    <row r="942" customFormat="false" ht="15.75" hidden="false" customHeight="false" outlineLevel="0" collapsed="false">
      <c r="E942" s="193"/>
      <c r="J942" s="194"/>
      <c r="K942" s="194"/>
      <c r="L942" s="194"/>
      <c r="M942" s="195"/>
    </row>
    <row r="943" customFormat="false" ht="15.75" hidden="false" customHeight="false" outlineLevel="0" collapsed="false">
      <c r="E943" s="193"/>
      <c r="J943" s="194"/>
      <c r="K943" s="194"/>
      <c r="L943" s="194"/>
      <c r="M943" s="195"/>
    </row>
    <row r="944" customFormat="false" ht="15.75" hidden="false" customHeight="false" outlineLevel="0" collapsed="false">
      <c r="E944" s="193"/>
      <c r="J944" s="194"/>
      <c r="K944" s="194"/>
      <c r="L944" s="194"/>
      <c r="M944" s="195"/>
    </row>
    <row r="945" customFormat="false" ht="15.75" hidden="false" customHeight="false" outlineLevel="0" collapsed="false">
      <c r="E945" s="193"/>
      <c r="J945" s="194"/>
      <c r="K945" s="194"/>
      <c r="L945" s="194"/>
      <c r="M945" s="195"/>
    </row>
    <row r="946" customFormat="false" ht="15.75" hidden="false" customHeight="false" outlineLevel="0" collapsed="false">
      <c r="E946" s="193"/>
      <c r="J946" s="194"/>
      <c r="K946" s="194"/>
      <c r="L946" s="194"/>
      <c r="M946" s="195"/>
    </row>
    <row r="947" customFormat="false" ht="15.75" hidden="false" customHeight="false" outlineLevel="0" collapsed="false">
      <c r="E947" s="193"/>
      <c r="J947" s="194"/>
      <c r="K947" s="194"/>
      <c r="L947" s="194"/>
      <c r="M947" s="195"/>
    </row>
    <row r="948" customFormat="false" ht="15.75" hidden="false" customHeight="false" outlineLevel="0" collapsed="false">
      <c r="E948" s="193"/>
      <c r="J948" s="194"/>
      <c r="K948" s="194"/>
      <c r="L948" s="194"/>
      <c r="M948" s="195"/>
    </row>
    <row r="949" customFormat="false" ht="15.75" hidden="false" customHeight="false" outlineLevel="0" collapsed="false">
      <c r="E949" s="193"/>
      <c r="J949" s="194"/>
      <c r="K949" s="194"/>
      <c r="L949" s="194"/>
      <c r="M949" s="195"/>
    </row>
    <row r="950" customFormat="false" ht="15.75" hidden="false" customHeight="false" outlineLevel="0" collapsed="false">
      <c r="E950" s="193"/>
      <c r="J950" s="194"/>
      <c r="K950" s="194"/>
      <c r="L950" s="194"/>
      <c r="M950" s="195"/>
    </row>
    <row r="951" customFormat="false" ht="15.75" hidden="false" customHeight="false" outlineLevel="0" collapsed="false">
      <c r="E951" s="193"/>
      <c r="J951" s="194"/>
      <c r="K951" s="194"/>
      <c r="L951" s="194"/>
      <c r="M951" s="195"/>
    </row>
    <row r="952" customFormat="false" ht="15.75" hidden="false" customHeight="false" outlineLevel="0" collapsed="false">
      <c r="E952" s="193"/>
      <c r="J952" s="194"/>
      <c r="K952" s="194"/>
      <c r="L952" s="194"/>
      <c r="M952" s="195"/>
    </row>
    <row r="953" customFormat="false" ht="15.75" hidden="false" customHeight="false" outlineLevel="0" collapsed="false">
      <c r="E953" s="193"/>
      <c r="J953" s="194"/>
      <c r="K953" s="194"/>
      <c r="L953" s="194"/>
      <c r="M953" s="195"/>
    </row>
    <row r="954" customFormat="false" ht="15.75" hidden="false" customHeight="false" outlineLevel="0" collapsed="false">
      <c r="E954" s="193"/>
      <c r="J954" s="194"/>
      <c r="K954" s="194"/>
      <c r="L954" s="194"/>
      <c r="M954" s="195"/>
    </row>
    <row r="955" customFormat="false" ht="15.75" hidden="false" customHeight="false" outlineLevel="0" collapsed="false">
      <c r="E955" s="193"/>
      <c r="J955" s="194"/>
      <c r="K955" s="194"/>
      <c r="L955" s="194"/>
      <c r="M955" s="195"/>
    </row>
    <row r="956" customFormat="false" ht="15.75" hidden="false" customHeight="false" outlineLevel="0" collapsed="false">
      <c r="E956" s="193"/>
      <c r="J956" s="194"/>
      <c r="K956" s="194"/>
      <c r="L956" s="194"/>
      <c r="M956" s="195"/>
    </row>
    <row r="957" customFormat="false" ht="15.75" hidden="false" customHeight="false" outlineLevel="0" collapsed="false">
      <c r="E957" s="193"/>
      <c r="J957" s="194"/>
      <c r="K957" s="194"/>
      <c r="L957" s="194"/>
      <c r="M957" s="195"/>
    </row>
    <row r="958" customFormat="false" ht="15.75" hidden="false" customHeight="false" outlineLevel="0" collapsed="false">
      <c r="E958" s="193"/>
      <c r="J958" s="194"/>
      <c r="K958" s="194"/>
      <c r="L958" s="194"/>
      <c r="M958" s="195"/>
    </row>
    <row r="959" customFormat="false" ht="15.75" hidden="false" customHeight="false" outlineLevel="0" collapsed="false">
      <c r="E959" s="193"/>
      <c r="J959" s="194"/>
      <c r="K959" s="194"/>
      <c r="L959" s="194"/>
      <c r="M959" s="195"/>
    </row>
    <row r="960" customFormat="false" ht="15.75" hidden="false" customHeight="false" outlineLevel="0" collapsed="false">
      <c r="E960" s="193"/>
      <c r="J960" s="194"/>
      <c r="K960" s="194"/>
      <c r="L960" s="194"/>
      <c r="M960" s="195"/>
    </row>
    <row r="961" customFormat="false" ht="15.75" hidden="false" customHeight="false" outlineLevel="0" collapsed="false">
      <c r="E961" s="193"/>
      <c r="J961" s="194"/>
      <c r="K961" s="194"/>
      <c r="L961" s="194"/>
      <c r="M961" s="195"/>
    </row>
    <row r="962" customFormat="false" ht="15.75" hidden="false" customHeight="false" outlineLevel="0" collapsed="false">
      <c r="E962" s="193"/>
      <c r="J962" s="194"/>
      <c r="K962" s="194"/>
      <c r="L962" s="194"/>
      <c r="M962" s="195"/>
    </row>
    <row r="963" customFormat="false" ht="15.75" hidden="false" customHeight="false" outlineLevel="0" collapsed="false">
      <c r="E963" s="193"/>
      <c r="J963" s="194"/>
      <c r="K963" s="194"/>
      <c r="L963" s="194"/>
      <c r="M963" s="195"/>
    </row>
    <row r="964" customFormat="false" ht="15.75" hidden="false" customHeight="false" outlineLevel="0" collapsed="false">
      <c r="E964" s="193"/>
      <c r="J964" s="194"/>
      <c r="K964" s="194"/>
      <c r="L964" s="194"/>
      <c r="M964" s="195"/>
    </row>
    <row r="965" customFormat="false" ht="15.75" hidden="false" customHeight="false" outlineLevel="0" collapsed="false">
      <c r="E965" s="193"/>
      <c r="J965" s="194"/>
      <c r="K965" s="194"/>
      <c r="L965" s="194"/>
      <c r="M965" s="195"/>
    </row>
    <row r="966" customFormat="false" ht="15.75" hidden="false" customHeight="false" outlineLevel="0" collapsed="false">
      <c r="E966" s="193"/>
      <c r="J966" s="194"/>
      <c r="K966" s="194"/>
      <c r="L966" s="194"/>
      <c r="M966" s="195"/>
    </row>
    <row r="967" customFormat="false" ht="15.75" hidden="false" customHeight="false" outlineLevel="0" collapsed="false">
      <c r="E967" s="193"/>
      <c r="J967" s="194"/>
      <c r="K967" s="194"/>
      <c r="L967" s="194"/>
      <c r="M967" s="195"/>
    </row>
    <row r="968" customFormat="false" ht="15.75" hidden="false" customHeight="false" outlineLevel="0" collapsed="false">
      <c r="E968" s="193"/>
      <c r="J968" s="194"/>
      <c r="K968" s="194"/>
      <c r="L968" s="194"/>
      <c r="M968" s="195"/>
    </row>
    <row r="969" customFormat="false" ht="15.75" hidden="false" customHeight="false" outlineLevel="0" collapsed="false">
      <c r="E969" s="193"/>
      <c r="J969" s="194"/>
      <c r="K969" s="194"/>
      <c r="L969" s="194"/>
      <c r="M969" s="195"/>
    </row>
    <row r="970" customFormat="false" ht="15.75" hidden="false" customHeight="false" outlineLevel="0" collapsed="false">
      <c r="E970" s="193"/>
      <c r="J970" s="194"/>
      <c r="K970" s="194"/>
      <c r="L970" s="194"/>
      <c r="M970" s="195"/>
    </row>
    <row r="971" customFormat="false" ht="15.75" hidden="false" customHeight="false" outlineLevel="0" collapsed="false">
      <c r="E971" s="193"/>
      <c r="J971" s="194"/>
      <c r="K971" s="194"/>
      <c r="L971" s="194"/>
      <c r="M971" s="195"/>
    </row>
    <row r="972" customFormat="false" ht="15.75" hidden="false" customHeight="false" outlineLevel="0" collapsed="false">
      <c r="E972" s="193"/>
      <c r="J972" s="194"/>
      <c r="K972" s="194"/>
      <c r="L972" s="194"/>
      <c r="M972" s="195"/>
    </row>
    <row r="973" customFormat="false" ht="15.75" hidden="false" customHeight="false" outlineLevel="0" collapsed="false">
      <c r="E973" s="193"/>
      <c r="J973" s="194"/>
      <c r="K973" s="194"/>
      <c r="L973" s="194"/>
      <c r="M973" s="195"/>
    </row>
    <row r="974" customFormat="false" ht="15.75" hidden="false" customHeight="false" outlineLevel="0" collapsed="false">
      <c r="E974" s="193"/>
      <c r="J974" s="194"/>
      <c r="K974" s="194"/>
      <c r="L974" s="194"/>
      <c r="M974" s="195"/>
    </row>
    <row r="975" customFormat="false" ht="15.75" hidden="false" customHeight="false" outlineLevel="0" collapsed="false">
      <c r="E975" s="193"/>
      <c r="J975" s="194"/>
      <c r="K975" s="194"/>
      <c r="L975" s="194"/>
      <c r="M975" s="195"/>
    </row>
    <row r="976" customFormat="false" ht="15.75" hidden="false" customHeight="false" outlineLevel="0" collapsed="false">
      <c r="E976" s="193"/>
      <c r="J976" s="194"/>
      <c r="K976" s="194"/>
      <c r="L976" s="194"/>
      <c r="M976" s="195"/>
    </row>
    <row r="977" customFormat="false" ht="15.75" hidden="false" customHeight="false" outlineLevel="0" collapsed="false">
      <c r="E977" s="193"/>
      <c r="J977" s="194"/>
      <c r="K977" s="194"/>
      <c r="L977" s="194"/>
      <c r="M977" s="195"/>
    </row>
    <row r="978" customFormat="false" ht="15.75" hidden="false" customHeight="false" outlineLevel="0" collapsed="false">
      <c r="E978" s="193"/>
      <c r="J978" s="194"/>
      <c r="K978" s="194"/>
      <c r="L978" s="194"/>
      <c r="M978" s="195"/>
    </row>
    <row r="979" customFormat="false" ht="15.75" hidden="false" customHeight="false" outlineLevel="0" collapsed="false">
      <c r="E979" s="193"/>
      <c r="J979" s="194"/>
      <c r="K979" s="194"/>
      <c r="L979" s="194"/>
      <c r="M979" s="195"/>
    </row>
    <row r="980" customFormat="false" ht="15.75" hidden="false" customHeight="false" outlineLevel="0" collapsed="false">
      <c r="E980" s="193"/>
      <c r="J980" s="194"/>
      <c r="K980" s="194"/>
      <c r="L980" s="194"/>
      <c r="M980" s="195"/>
    </row>
    <row r="981" customFormat="false" ht="15.75" hidden="false" customHeight="false" outlineLevel="0" collapsed="false">
      <c r="E981" s="193"/>
      <c r="J981" s="194"/>
      <c r="K981" s="194"/>
      <c r="L981" s="194"/>
      <c r="M981" s="195"/>
    </row>
    <row r="982" customFormat="false" ht="15.75" hidden="false" customHeight="false" outlineLevel="0" collapsed="false">
      <c r="E982" s="193"/>
      <c r="J982" s="194"/>
      <c r="K982" s="194"/>
      <c r="L982" s="194"/>
      <c r="M982" s="195"/>
    </row>
    <row r="983" customFormat="false" ht="15.75" hidden="false" customHeight="false" outlineLevel="0" collapsed="false">
      <c r="E983" s="193"/>
      <c r="J983" s="194"/>
      <c r="K983" s="194"/>
      <c r="L983" s="194"/>
      <c r="M983" s="195"/>
    </row>
    <row r="984" customFormat="false" ht="15.75" hidden="false" customHeight="false" outlineLevel="0" collapsed="false">
      <c r="E984" s="193"/>
      <c r="J984" s="194"/>
      <c r="K984" s="194"/>
      <c r="L984" s="194"/>
      <c r="M984" s="195"/>
    </row>
    <row r="985" customFormat="false" ht="15.75" hidden="false" customHeight="false" outlineLevel="0" collapsed="false">
      <c r="E985" s="193"/>
      <c r="J985" s="194"/>
      <c r="K985" s="194"/>
      <c r="L985" s="194"/>
      <c r="M985" s="195"/>
    </row>
    <row r="986" customFormat="false" ht="15.75" hidden="false" customHeight="false" outlineLevel="0" collapsed="false">
      <c r="E986" s="193"/>
      <c r="J986" s="194"/>
      <c r="K986" s="194"/>
      <c r="L986" s="194"/>
      <c r="M986" s="195"/>
    </row>
    <row r="987" customFormat="false" ht="15.75" hidden="false" customHeight="false" outlineLevel="0" collapsed="false">
      <c r="E987" s="193"/>
      <c r="J987" s="194"/>
      <c r="K987" s="194"/>
      <c r="L987" s="194"/>
      <c r="M987" s="195"/>
    </row>
    <row r="988" customFormat="false" ht="15.75" hidden="false" customHeight="false" outlineLevel="0" collapsed="false">
      <c r="E988" s="193"/>
      <c r="J988" s="194"/>
      <c r="K988" s="194"/>
      <c r="L988" s="194"/>
      <c r="M988" s="195"/>
    </row>
    <row r="989" customFormat="false" ht="15.75" hidden="false" customHeight="false" outlineLevel="0" collapsed="false">
      <c r="E989" s="193"/>
      <c r="J989" s="194"/>
      <c r="K989" s="194"/>
      <c r="L989" s="194"/>
      <c r="M989" s="195"/>
    </row>
    <row r="990" customFormat="false" ht="15.75" hidden="false" customHeight="false" outlineLevel="0" collapsed="false">
      <c r="E990" s="193"/>
      <c r="J990" s="194"/>
      <c r="K990" s="194"/>
      <c r="L990" s="194"/>
      <c r="M990" s="195"/>
    </row>
    <row r="991" customFormat="false" ht="15.75" hidden="false" customHeight="false" outlineLevel="0" collapsed="false">
      <c r="E991" s="193"/>
      <c r="J991" s="194"/>
      <c r="K991" s="194"/>
      <c r="L991" s="194"/>
      <c r="M991" s="195"/>
    </row>
    <row r="992" customFormat="false" ht="15.75" hidden="false" customHeight="false" outlineLevel="0" collapsed="false">
      <c r="E992" s="193"/>
      <c r="J992" s="194"/>
      <c r="K992" s="194"/>
      <c r="L992" s="194"/>
      <c r="M992" s="195"/>
    </row>
    <row r="993" customFormat="false" ht="15.75" hidden="false" customHeight="false" outlineLevel="0" collapsed="false">
      <c r="E993" s="193"/>
      <c r="J993" s="194"/>
      <c r="K993" s="194"/>
      <c r="L993" s="194"/>
      <c r="M993" s="195"/>
    </row>
    <row r="994" customFormat="false" ht="15.75" hidden="false" customHeight="false" outlineLevel="0" collapsed="false">
      <c r="E994" s="193"/>
      <c r="J994" s="194"/>
      <c r="K994" s="194"/>
      <c r="L994" s="194"/>
      <c r="M994" s="195"/>
    </row>
    <row r="995" customFormat="false" ht="15.75" hidden="false" customHeight="false" outlineLevel="0" collapsed="false">
      <c r="E995" s="193"/>
      <c r="J995" s="194"/>
      <c r="K995" s="194"/>
      <c r="L995" s="194"/>
      <c r="M995" s="195"/>
    </row>
    <row r="996" customFormat="false" ht="15.75" hidden="false" customHeight="false" outlineLevel="0" collapsed="false">
      <c r="E996" s="193"/>
      <c r="J996" s="194"/>
      <c r="K996" s="194"/>
      <c r="L996" s="194"/>
      <c r="M996" s="195"/>
    </row>
    <row r="997" customFormat="false" ht="15.75" hidden="false" customHeight="false" outlineLevel="0" collapsed="false">
      <c r="E997" s="193"/>
      <c r="J997" s="194"/>
      <c r="K997" s="194"/>
      <c r="L997" s="194"/>
      <c r="M997" s="195"/>
    </row>
    <row r="998" customFormat="false" ht="15.75" hidden="false" customHeight="false" outlineLevel="0" collapsed="false">
      <c r="E998" s="193"/>
      <c r="J998" s="194"/>
      <c r="K998" s="194"/>
      <c r="L998" s="194"/>
      <c r="M998" s="195"/>
    </row>
    <row r="999" customFormat="false" ht="15.75" hidden="false" customHeight="false" outlineLevel="0" collapsed="false">
      <c r="E999" s="193"/>
      <c r="J999" s="194"/>
      <c r="K999" s="194"/>
      <c r="L999" s="194"/>
      <c r="M999" s="195"/>
    </row>
    <row r="1000" customFormat="false" ht="15.75" hidden="false" customHeight="false" outlineLevel="0" collapsed="false">
      <c r="E1000" s="193"/>
      <c r="J1000" s="194"/>
      <c r="K1000" s="194"/>
      <c r="L1000" s="194"/>
      <c r="M1000" s="195"/>
    </row>
    <row r="1001" customFormat="false" ht="15.75" hidden="false" customHeight="false" outlineLevel="0" collapsed="false">
      <c r="E1001" s="193"/>
      <c r="J1001" s="194"/>
      <c r="K1001" s="194"/>
      <c r="L1001" s="194"/>
      <c r="M1001" s="195"/>
    </row>
    <row r="1002" customFormat="false" ht="15.75" hidden="false" customHeight="false" outlineLevel="0" collapsed="false">
      <c r="E1002" s="193"/>
      <c r="J1002" s="194"/>
      <c r="K1002" s="194"/>
      <c r="L1002" s="194"/>
      <c r="M1002" s="195"/>
    </row>
    <row r="1003" customFormat="false" ht="15.75" hidden="false" customHeight="false" outlineLevel="0" collapsed="false">
      <c r="E1003" s="193"/>
      <c r="J1003" s="194"/>
      <c r="K1003" s="194"/>
      <c r="L1003" s="194"/>
      <c r="M1003" s="195"/>
    </row>
    <row r="1004" customFormat="false" ht="15.75" hidden="false" customHeight="false" outlineLevel="0" collapsed="false">
      <c r="E1004" s="193"/>
      <c r="J1004" s="194"/>
      <c r="K1004" s="194"/>
      <c r="L1004" s="194"/>
      <c r="M1004" s="195"/>
    </row>
    <row r="1005" customFormat="false" ht="15.75" hidden="false" customHeight="false" outlineLevel="0" collapsed="false">
      <c r="E1005" s="193"/>
      <c r="J1005" s="194"/>
      <c r="K1005" s="194"/>
      <c r="L1005" s="194"/>
      <c r="M1005" s="195"/>
    </row>
    <row r="1006" customFormat="false" ht="15.75" hidden="false" customHeight="false" outlineLevel="0" collapsed="false">
      <c r="E1006" s="193"/>
      <c r="J1006" s="194"/>
      <c r="K1006" s="194"/>
      <c r="L1006" s="194"/>
      <c r="M1006" s="195"/>
    </row>
    <row r="1007" customFormat="false" ht="15.75" hidden="false" customHeight="false" outlineLevel="0" collapsed="false">
      <c r="E1007" s="193"/>
      <c r="J1007" s="194"/>
      <c r="K1007" s="194"/>
      <c r="L1007" s="194"/>
      <c r="M1007" s="195"/>
    </row>
    <row r="1008" customFormat="false" ht="15.75" hidden="false" customHeight="false" outlineLevel="0" collapsed="false">
      <c r="E1008" s="193"/>
      <c r="J1008" s="194"/>
      <c r="K1008" s="194"/>
      <c r="L1008" s="194"/>
      <c r="M1008" s="195"/>
    </row>
    <row r="1009" customFormat="false" ht="15.75" hidden="false" customHeight="false" outlineLevel="0" collapsed="false">
      <c r="E1009" s="193"/>
      <c r="J1009" s="194"/>
      <c r="K1009" s="194"/>
      <c r="L1009" s="194"/>
      <c r="M1009" s="195"/>
    </row>
    <row r="1010" customFormat="false" ht="15.75" hidden="false" customHeight="false" outlineLevel="0" collapsed="false">
      <c r="E1010" s="193"/>
      <c r="J1010" s="194"/>
      <c r="K1010" s="194"/>
      <c r="L1010" s="194"/>
      <c r="M1010" s="195"/>
    </row>
    <row r="1011" customFormat="false" ht="15.75" hidden="false" customHeight="false" outlineLevel="0" collapsed="false">
      <c r="E1011" s="193"/>
      <c r="J1011" s="194"/>
      <c r="K1011" s="194"/>
      <c r="L1011" s="194"/>
      <c r="M1011" s="195"/>
    </row>
    <row r="1012" customFormat="false" ht="15.75" hidden="false" customHeight="false" outlineLevel="0" collapsed="false">
      <c r="E1012" s="193"/>
      <c r="J1012" s="194"/>
      <c r="K1012" s="194"/>
      <c r="L1012" s="194"/>
      <c r="M1012" s="195"/>
    </row>
    <row r="1013" customFormat="false" ht="15.75" hidden="false" customHeight="false" outlineLevel="0" collapsed="false">
      <c r="E1013" s="193"/>
      <c r="J1013" s="194"/>
      <c r="K1013" s="194"/>
      <c r="L1013" s="194"/>
      <c r="M1013" s="195"/>
    </row>
    <row r="1014" customFormat="false" ht="15.75" hidden="false" customHeight="false" outlineLevel="0" collapsed="false">
      <c r="E1014" s="193"/>
      <c r="J1014" s="194"/>
      <c r="K1014" s="194"/>
      <c r="L1014" s="194"/>
      <c r="M1014" s="195"/>
    </row>
    <row r="1015" customFormat="false" ht="15.75" hidden="false" customHeight="false" outlineLevel="0" collapsed="false">
      <c r="E1015" s="193"/>
      <c r="J1015" s="194"/>
      <c r="K1015" s="194"/>
      <c r="L1015" s="194"/>
      <c r="M1015" s="195"/>
    </row>
    <row r="1016" customFormat="false" ht="15.75" hidden="false" customHeight="false" outlineLevel="0" collapsed="false">
      <c r="E1016" s="193"/>
      <c r="J1016" s="194"/>
      <c r="K1016" s="194"/>
      <c r="L1016" s="194"/>
      <c r="M1016" s="195"/>
    </row>
    <row r="1017" customFormat="false" ht="15.75" hidden="false" customHeight="false" outlineLevel="0" collapsed="false">
      <c r="E1017" s="193"/>
      <c r="J1017" s="194"/>
      <c r="K1017" s="194"/>
      <c r="L1017" s="194"/>
      <c r="M1017" s="195"/>
    </row>
    <row r="1018" customFormat="false" ht="15.75" hidden="false" customHeight="false" outlineLevel="0" collapsed="false">
      <c r="E1018" s="193"/>
      <c r="J1018" s="194"/>
      <c r="K1018" s="194"/>
      <c r="L1018" s="194"/>
      <c r="M1018" s="195"/>
    </row>
    <row r="1019" customFormat="false" ht="15.75" hidden="false" customHeight="false" outlineLevel="0" collapsed="false">
      <c r="E1019" s="193"/>
      <c r="J1019" s="194"/>
      <c r="K1019" s="194"/>
      <c r="L1019" s="194"/>
      <c r="M1019" s="195"/>
    </row>
    <row r="1020" customFormat="false" ht="15.75" hidden="false" customHeight="false" outlineLevel="0" collapsed="false">
      <c r="E1020" s="193"/>
      <c r="J1020" s="194"/>
      <c r="K1020" s="194"/>
      <c r="L1020" s="194"/>
      <c r="M1020" s="195"/>
    </row>
    <row r="1021" customFormat="false" ht="15.75" hidden="false" customHeight="false" outlineLevel="0" collapsed="false">
      <c r="E1021" s="193"/>
      <c r="J1021" s="194"/>
      <c r="K1021" s="194"/>
      <c r="L1021" s="194"/>
      <c r="M1021" s="195"/>
    </row>
    <row r="1022" customFormat="false" ht="15.75" hidden="false" customHeight="false" outlineLevel="0" collapsed="false">
      <c r="E1022" s="193"/>
      <c r="J1022" s="194"/>
      <c r="K1022" s="194"/>
      <c r="L1022" s="194"/>
      <c r="M1022" s="195"/>
    </row>
    <row r="1023" customFormat="false" ht="15.75" hidden="false" customHeight="false" outlineLevel="0" collapsed="false">
      <c r="E1023" s="193"/>
      <c r="J1023" s="194"/>
      <c r="K1023" s="194"/>
      <c r="L1023" s="194"/>
      <c r="M1023" s="195"/>
    </row>
    <row r="1024" customFormat="false" ht="15.75" hidden="false" customHeight="false" outlineLevel="0" collapsed="false">
      <c r="E1024" s="193"/>
      <c r="J1024" s="194"/>
      <c r="K1024" s="194"/>
      <c r="L1024" s="194"/>
      <c r="M1024" s="195"/>
    </row>
    <row r="1025" customFormat="false" ht="15.75" hidden="false" customHeight="false" outlineLevel="0" collapsed="false">
      <c r="E1025" s="193"/>
      <c r="J1025" s="194"/>
      <c r="K1025" s="194"/>
      <c r="L1025" s="194"/>
      <c r="M1025" s="195"/>
    </row>
    <row r="1026" customFormat="false" ht="15.75" hidden="false" customHeight="false" outlineLevel="0" collapsed="false">
      <c r="E1026" s="193"/>
      <c r="J1026" s="194"/>
      <c r="K1026" s="194"/>
      <c r="L1026" s="194"/>
      <c r="M1026" s="195"/>
    </row>
    <row r="1027" customFormat="false" ht="15.75" hidden="false" customHeight="false" outlineLevel="0" collapsed="false">
      <c r="E1027" s="193"/>
      <c r="J1027" s="194"/>
      <c r="K1027" s="194"/>
      <c r="L1027" s="194"/>
      <c r="M1027" s="195"/>
    </row>
    <row r="1028" customFormat="false" ht="15.75" hidden="false" customHeight="false" outlineLevel="0" collapsed="false">
      <c r="E1028" s="193"/>
      <c r="J1028" s="194"/>
      <c r="K1028" s="194"/>
      <c r="L1028" s="194"/>
      <c r="M1028" s="195"/>
    </row>
    <row r="1029" customFormat="false" ht="15.75" hidden="false" customHeight="false" outlineLevel="0" collapsed="false">
      <c r="E1029" s="193"/>
      <c r="J1029" s="194"/>
      <c r="K1029" s="194"/>
      <c r="L1029" s="194"/>
      <c r="M1029" s="195"/>
    </row>
    <row r="1030" customFormat="false" ht="15.75" hidden="false" customHeight="false" outlineLevel="0" collapsed="false">
      <c r="E1030" s="193"/>
      <c r="J1030" s="194"/>
      <c r="K1030" s="194"/>
      <c r="L1030" s="194"/>
      <c r="M1030" s="195"/>
    </row>
    <row r="1031" customFormat="false" ht="15.75" hidden="false" customHeight="false" outlineLevel="0" collapsed="false">
      <c r="E1031" s="193"/>
      <c r="J1031" s="194"/>
      <c r="K1031" s="194"/>
      <c r="L1031" s="194"/>
      <c r="M1031" s="195"/>
    </row>
    <row r="1032" customFormat="false" ht="15.75" hidden="false" customHeight="false" outlineLevel="0" collapsed="false">
      <c r="E1032" s="193"/>
      <c r="J1032" s="194"/>
      <c r="K1032" s="194"/>
      <c r="L1032" s="194"/>
      <c r="M1032" s="195"/>
    </row>
    <row r="1033" customFormat="false" ht="15.75" hidden="false" customHeight="false" outlineLevel="0" collapsed="false">
      <c r="E1033" s="193"/>
      <c r="J1033" s="194"/>
      <c r="K1033" s="194"/>
      <c r="L1033" s="194"/>
      <c r="M1033" s="195"/>
    </row>
    <row r="1034" customFormat="false" ht="15.75" hidden="false" customHeight="false" outlineLevel="0" collapsed="false">
      <c r="E1034" s="193"/>
      <c r="J1034" s="194"/>
      <c r="K1034" s="194"/>
      <c r="L1034" s="194"/>
      <c r="M1034" s="195"/>
    </row>
    <row r="1035" customFormat="false" ht="15.75" hidden="false" customHeight="false" outlineLevel="0" collapsed="false">
      <c r="E1035" s="193"/>
      <c r="J1035" s="194"/>
      <c r="K1035" s="194"/>
      <c r="L1035" s="194"/>
      <c r="M1035" s="195"/>
    </row>
    <row r="1036" customFormat="false" ht="15.75" hidden="false" customHeight="false" outlineLevel="0" collapsed="false">
      <c r="E1036" s="193"/>
      <c r="J1036" s="194"/>
      <c r="K1036" s="194"/>
      <c r="L1036" s="194"/>
      <c r="M1036" s="195"/>
    </row>
    <row r="1037" customFormat="false" ht="15.75" hidden="false" customHeight="false" outlineLevel="0" collapsed="false">
      <c r="E1037" s="193"/>
      <c r="J1037" s="194"/>
      <c r="K1037" s="194"/>
      <c r="L1037" s="194"/>
      <c r="M1037" s="195"/>
    </row>
    <row r="1038" customFormat="false" ht="15.75" hidden="false" customHeight="false" outlineLevel="0" collapsed="false">
      <c r="E1038" s="193"/>
      <c r="J1038" s="194"/>
      <c r="K1038" s="194"/>
      <c r="L1038" s="194"/>
      <c r="M1038" s="195"/>
    </row>
    <row r="1039" customFormat="false" ht="15.75" hidden="false" customHeight="false" outlineLevel="0" collapsed="false">
      <c r="E1039" s="193"/>
      <c r="J1039" s="194"/>
      <c r="K1039" s="194"/>
      <c r="L1039" s="194"/>
      <c r="M1039" s="195"/>
    </row>
    <row r="1040" customFormat="false" ht="15.75" hidden="false" customHeight="false" outlineLevel="0" collapsed="false">
      <c r="E1040" s="193"/>
      <c r="J1040" s="194"/>
      <c r="K1040" s="194"/>
      <c r="L1040" s="194"/>
      <c r="M1040" s="195"/>
    </row>
    <row r="1041" customFormat="false" ht="15.75" hidden="false" customHeight="false" outlineLevel="0" collapsed="false">
      <c r="E1041" s="193"/>
      <c r="J1041" s="194"/>
      <c r="K1041" s="194"/>
      <c r="L1041" s="194"/>
      <c r="M1041" s="195"/>
    </row>
    <row r="1042" customFormat="false" ht="15.75" hidden="false" customHeight="false" outlineLevel="0" collapsed="false">
      <c r="E1042" s="193"/>
      <c r="J1042" s="194"/>
      <c r="K1042" s="194"/>
      <c r="L1042" s="194"/>
      <c r="M1042" s="195"/>
    </row>
    <row r="1043" customFormat="false" ht="15.75" hidden="false" customHeight="false" outlineLevel="0" collapsed="false">
      <c r="E1043" s="193"/>
      <c r="J1043" s="194"/>
      <c r="K1043" s="194"/>
      <c r="L1043" s="194"/>
      <c r="M1043" s="195"/>
    </row>
    <row r="1044" customFormat="false" ht="15.75" hidden="false" customHeight="false" outlineLevel="0" collapsed="false">
      <c r="E1044" s="193"/>
      <c r="J1044" s="194"/>
      <c r="K1044" s="194"/>
      <c r="L1044" s="194"/>
      <c r="M1044" s="195"/>
    </row>
    <row r="1045" customFormat="false" ht="15.75" hidden="false" customHeight="false" outlineLevel="0" collapsed="false">
      <c r="E1045" s="193"/>
      <c r="J1045" s="194"/>
      <c r="K1045" s="194"/>
      <c r="L1045" s="194"/>
      <c r="M1045" s="195"/>
    </row>
    <row r="1046" customFormat="false" ht="15.75" hidden="false" customHeight="false" outlineLevel="0" collapsed="false">
      <c r="E1046" s="193"/>
      <c r="J1046" s="194"/>
      <c r="K1046" s="194"/>
      <c r="L1046" s="194"/>
      <c r="M1046" s="195"/>
    </row>
    <row r="1047" customFormat="false" ht="15.75" hidden="false" customHeight="false" outlineLevel="0" collapsed="false">
      <c r="E1047" s="193"/>
      <c r="J1047" s="194"/>
      <c r="K1047" s="194"/>
      <c r="L1047" s="194"/>
      <c r="M1047" s="195"/>
    </row>
    <row r="1048" customFormat="false" ht="15.75" hidden="false" customHeight="false" outlineLevel="0" collapsed="false">
      <c r="E1048" s="193"/>
      <c r="J1048" s="194"/>
      <c r="K1048" s="194"/>
      <c r="L1048" s="194"/>
      <c r="M1048" s="195"/>
    </row>
    <row r="1049" customFormat="false" ht="15.75" hidden="false" customHeight="false" outlineLevel="0" collapsed="false">
      <c r="E1049" s="193"/>
      <c r="J1049" s="194"/>
      <c r="K1049" s="194"/>
      <c r="L1049" s="194"/>
      <c r="M1049" s="195"/>
    </row>
    <row r="1050" customFormat="false" ht="15.75" hidden="false" customHeight="false" outlineLevel="0" collapsed="false">
      <c r="E1050" s="193"/>
      <c r="J1050" s="194"/>
      <c r="K1050" s="194"/>
      <c r="L1050" s="194"/>
      <c r="M1050" s="195"/>
    </row>
    <row r="1051" customFormat="false" ht="15.75" hidden="false" customHeight="false" outlineLevel="0" collapsed="false">
      <c r="E1051" s="193"/>
      <c r="J1051" s="194"/>
      <c r="K1051" s="194"/>
      <c r="L1051" s="194"/>
      <c r="M1051" s="195"/>
    </row>
    <row r="1052" customFormat="false" ht="15.75" hidden="false" customHeight="false" outlineLevel="0" collapsed="false">
      <c r="E1052" s="193"/>
      <c r="J1052" s="194"/>
      <c r="K1052" s="194"/>
      <c r="L1052" s="194"/>
      <c r="M1052" s="195"/>
    </row>
    <row r="1053" customFormat="false" ht="15.75" hidden="false" customHeight="false" outlineLevel="0" collapsed="false">
      <c r="E1053" s="193"/>
      <c r="J1053" s="194"/>
      <c r="K1053" s="194"/>
      <c r="L1053" s="194"/>
      <c r="M1053" s="195"/>
    </row>
    <row r="1054" customFormat="false" ht="15.75" hidden="false" customHeight="false" outlineLevel="0" collapsed="false">
      <c r="E1054" s="193"/>
      <c r="J1054" s="194"/>
      <c r="K1054" s="194"/>
      <c r="L1054" s="194"/>
      <c r="M1054" s="195"/>
    </row>
    <row r="1055" customFormat="false" ht="15.75" hidden="false" customHeight="false" outlineLevel="0" collapsed="false">
      <c r="E1055" s="193"/>
      <c r="J1055" s="194"/>
      <c r="K1055" s="194"/>
      <c r="L1055" s="194"/>
      <c r="M1055" s="195"/>
    </row>
    <row r="1056" customFormat="false" ht="15.75" hidden="false" customHeight="false" outlineLevel="0" collapsed="false">
      <c r="E1056" s="193"/>
      <c r="J1056" s="194"/>
      <c r="K1056" s="194"/>
      <c r="L1056" s="194"/>
      <c r="M1056" s="195"/>
    </row>
    <row r="1057" customFormat="false" ht="15.75" hidden="false" customHeight="false" outlineLevel="0" collapsed="false">
      <c r="E1057" s="193"/>
      <c r="J1057" s="194"/>
      <c r="K1057" s="194"/>
      <c r="L1057" s="194"/>
      <c r="M1057" s="195"/>
    </row>
    <row r="1058" customFormat="false" ht="15.75" hidden="false" customHeight="false" outlineLevel="0" collapsed="false">
      <c r="E1058" s="193"/>
      <c r="J1058" s="194"/>
      <c r="K1058" s="194"/>
      <c r="L1058" s="194"/>
      <c r="M1058" s="195"/>
    </row>
    <row r="1059" customFormat="false" ht="15.75" hidden="false" customHeight="false" outlineLevel="0" collapsed="false">
      <c r="E1059" s="193"/>
      <c r="J1059" s="194"/>
      <c r="K1059" s="194"/>
      <c r="L1059" s="194"/>
      <c r="M1059" s="195"/>
    </row>
    <row r="1060" customFormat="false" ht="15.75" hidden="false" customHeight="false" outlineLevel="0" collapsed="false">
      <c r="E1060" s="193"/>
      <c r="J1060" s="194"/>
      <c r="K1060" s="194"/>
      <c r="L1060" s="194"/>
      <c r="M1060" s="195"/>
    </row>
    <row r="1061" customFormat="false" ht="15.75" hidden="false" customHeight="false" outlineLevel="0" collapsed="false">
      <c r="E1061" s="193"/>
      <c r="J1061" s="194"/>
      <c r="K1061" s="194"/>
      <c r="L1061" s="194"/>
      <c r="M1061" s="195"/>
    </row>
    <row r="1062" customFormat="false" ht="15.75" hidden="false" customHeight="false" outlineLevel="0" collapsed="false">
      <c r="E1062" s="193"/>
      <c r="J1062" s="194"/>
      <c r="K1062" s="194"/>
      <c r="L1062" s="194"/>
      <c r="M1062" s="195"/>
    </row>
    <row r="1063" customFormat="false" ht="15.75" hidden="false" customHeight="false" outlineLevel="0" collapsed="false">
      <c r="E1063" s="193"/>
      <c r="J1063" s="194"/>
      <c r="K1063" s="194"/>
      <c r="L1063" s="194"/>
      <c r="M1063" s="195"/>
    </row>
    <row r="1064" customFormat="false" ht="15.75" hidden="false" customHeight="false" outlineLevel="0" collapsed="false">
      <c r="E1064" s="193"/>
      <c r="J1064" s="194"/>
      <c r="K1064" s="194"/>
      <c r="L1064" s="194"/>
      <c r="M1064" s="195"/>
    </row>
    <row r="1065" customFormat="false" ht="15.75" hidden="false" customHeight="false" outlineLevel="0" collapsed="false">
      <c r="E1065" s="193"/>
      <c r="J1065" s="194"/>
      <c r="K1065" s="194"/>
      <c r="L1065" s="194"/>
      <c r="M1065" s="195"/>
    </row>
    <row r="1066" customFormat="false" ht="15.75" hidden="false" customHeight="false" outlineLevel="0" collapsed="false">
      <c r="E1066" s="193"/>
      <c r="J1066" s="194"/>
      <c r="K1066" s="194"/>
      <c r="L1066" s="194"/>
      <c r="M1066" s="195"/>
    </row>
    <row r="1067" customFormat="false" ht="15.75" hidden="false" customHeight="false" outlineLevel="0" collapsed="false">
      <c r="E1067" s="193"/>
      <c r="J1067" s="194"/>
      <c r="K1067" s="194"/>
      <c r="L1067" s="194"/>
      <c r="M1067" s="195"/>
    </row>
    <row r="1068" customFormat="false" ht="15.75" hidden="false" customHeight="false" outlineLevel="0" collapsed="false">
      <c r="E1068" s="193"/>
      <c r="J1068" s="194"/>
      <c r="K1068" s="194"/>
      <c r="L1068" s="194"/>
      <c r="M1068" s="195"/>
    </row>
    <row r="1069" customFormat="false" ht="15.75" hidden="false" customHeight="false" outlineLevel="0" collapsed="false">
      <c r="E1069" s="193"/>
      <c r="J1069" s="194"/>
      <c r="K1069" s="194"/>
      <c r="L1069" s="194"/>
      <c r="M1069" s="195"/>
    </row>
    <row r="1070" customFormat="false" ht="15.75" hidden="false" customHeight="false" outlineLevel="0" collapsed="false">
      <c r="E1070" s="193"/>
      <c r="J1070" s="194"/>
      <c r="K1070" s="194"/>
      <c r="L1070" s="194"/>
      <c r="M1070" s="195"/>
    </row>
    <row r="1071" customFormat="false" ht="15.75" hidden="false" customHeight="false" outlineLevel="0" collapsed="false">
      <c r="E1071" s="193"/>
      <c r="J1071" s="194"/>
      <c r="K1071" s="194"/>
      <c r="L1071" s="194"/>
      <c r="M1071" s="195"/>
    </row>
    <row r="1072" customFormat="false" ht="15.75" hidden="false" customHeight="false" outlineLevel="0" collapsed="false">
      <c r="E1072" s="193"/>
      <c r="J1072" s="194"/>
      <c r="K1072" s="194"/>
      <c r="L1072" s="194"/>
      <c r="M1072" s="195"/>
    </row>
    <row r="1073" customFormat="false" ht="15.75" hidden="false" customHeight="false" outlineLevel="0" collapsed="false">
      <c r="E1073" s="193"/>
      <c r="J1073" s="194"/>
      <c r="K1073" s="194"/>
      <c r="L1073" s="194"/>
      <c r="M1073" s="195"/>
    </row>
    <row r="1074" customFormat="false" ht="15.75" hidden="false" customHeight="false" outlineLevel="0" collapsed="false">
      <c r="E1074" s="193"/>
      <c r="J1074" s="194"/>
      <c r="K1074" s="194"/>
      <c r="L1074" s="194"/>
      <c r="M1074" s="195"/>
    </row>
    <row r="1075" customFormat="false" ht="15.75" hidden="false" customHeight="false" outlineLevel="0" collapsed="false">
      <c r="E1075" s="193"/>
      <c r="J1075" s="194"/>
      <c r="K1075" s="194"/>
      <c r="L1075" s="194"/>
      <c r="M1075" s="195"/>
    </row>
    <row r="1076" customFormat="false" ht="15.75" hidden="false" customHeight="false" outlineLevel="0" collapsed="false">
      <c r="E1076" s="193"/>
      <c r="J1076" s="194"/>
      <c r="K1076" s="194"/>
      <c r="L1076" s="194"/>
      <c r="M1076" s="195"/>
    </row>
    <row r="1077" customFormat="false" ht="15.75" hidden="false" customHeight="false" outlineLevel="0" collapsed="false">
      <c r="E1077" s="193"/>
      <c r="J1077" s="194"/>
      <c r="K1077" s="194"/>
      <c r="L1077" s="194"/>
      <c r="M1077" s="195"/>
    </row>
    <row r="1078" customFormat="false" ht="15.75" hidden="false" customHeight="false" outlineLevel="0" collapsed="false">
      <c r="E1078" s="193"/>
      <c r="J1078" s="194"/>
      <c r="K1078" s="194"/>
      <c r="L1078" s="194"/>
      <c r="M1078" s="195"/>
    </row>
    <row r="1079" customFormat="false" ht="15.75" hidden="false" customHeight="false" outlineLevel="0" collapsed="false">
      <c r="E1079" s="193"/>
      <c r="J1079" s="194"/>
      <c r="K1079" s="194"/>
      <c r="L1079" s="194"/>
      <c r="M1079" s="195"/>
    </row>
    <row r="1080" customFormat="false" ht="15.75" hidden="false" customHeight="false" outlineLevel="0" collapsed="false">
      <c r="E1080" s="193"/>
      <c r="J1080" s="194"/>
      <c r="K1080" s="194"/>
      <c r="L1080" s="194"/>
      <c r="M1080" s="195"/>
    </row>
    <row r="1081" customFormat="false" ht="15.75" hidden="false" customHeight="false" outlineLevel="0" collapsed="false">
      <c r="E1081" s="193"/>
      <c r="J1081" s="194"/>
      <c r="K1081" s="194"/>
      <c r="L1081" s="194"/>
      <c r="M1081" s="195"/>
    </row>
    <row r="1082" customFormat="false" ht="15.75" hidden="false" customHeight="false" outlineLevel="0" collapsed="false">
      <c r="E1082" s="193"/>
      <c r="J1082" s="194"/>
      <c r="K1082" s="194"/>
      <c r="L1082" s="194"/>
      <c r="M1082" s="195"/>
    </row>
    <row r="1083" customFormat="false" ht="15.75" hidden="false" customHeight="false" outlineLevel="0" collapsed="false">
      <c r="E1083" s="193"/>
      <c r="J1083" s="194"/>
      <c r="K1083" s="194"/>
      <c r="L1083" s="194"/>
      <c r="M1083" s="195"/>
    </row>
    <row r="1084" customFormat="false" ht="15.75" hidden="false" customHeight="false" outlineLevel="0" collapsed="false">
      <c r="E1084" s="193"/>
      <c r="J1084" s="194"/>
      <c r="K1084" s="194"/>
      <c r="L1084" s="194"/>
      <c r="M1084" s="195"/>
    </row>
    <row r="1085" customFormat="false" ht="15.75" hidden="false" customHeight="false" outlineLevel="0" collapsed="false">
      <c r="E1085" s="193"/>
      <c r="J1085" s="194"/>
      <c r="K1085" s="194"/>
      <c r="L1085" s="194"/>
      <c r="M1085" s="195"/>
    </row>
    <row r="1086" customFormat="false" ht="15.75" hidden="false" customHeight="false" outlineLevel="0" collapsed="false">
      <c r="E1086" s="193"/>
      <c r="J1086" s="194"/>
      <c r="K1086" s="194"/>
      <c r="L1086" s="194"/>
      <c r="M1086" s="195"/>
    </row>
    <row r="1087" customFormat="false" ht="15.75" hidden="false" customHeight="false" outlineLevel="0" collapsed="false">
      <c r="E1087" s="193"/>
      <c r="J1087" s="194"/>
      <c r="K1087" s="194"/>
      <c r="L1087" s="194"/>
      <c r="M1087" s="195"/>
    </row>
    <row r="1088" customFormat="false" ht="15.75" hidden="false" customHeight="false" outlineLevel="0" collapsed="false">
      <c r="E1088" s="193"/>
      <c r="J1088" s="194"/>
      <c r="K1088" s="194"/>
      <c r="L1088" s="194"/>
      <c r="M1088" s="195"/>
    </row>
    <row r="1089" customFormat="false" ht="15.75" hidden="false" customHeight="false" outlineLevel="0" collapsed="false">
      <c r="E1089" s="193"/>
      <c r="J1089" s="194"/>
      <c r="K1089" s="194"/>
      <c r="L1089" s="194"/>
      <c r="M1089" s="195"/>
    </row>
    <row r="1090" customFormat="false" ht="15.75" hidden="false" customHeight="false" outlineLevel="0" collapsed="false">
      <c r="E1090" s="193"/>
      <c r="J1090" s="194"/>
      <c r="K1090" s="194"/>
      <c r="L1090" s="194"/>
      <c r="M1090" s="195"/>
    </row>
    <row r="1091" customFormat="false" ht="15.75" hidden="false" customHeight="false" outlineLevel="0" collapsed="false">
      <c r="E1091" s="193"/>
      <c r="J1091" s="194"/>
      <c r="K1091" s="194"/>
      <c r="L1091" s="194"/>
      <c r="M1091" s="195"/>
    </row>
    <row r="1092" customFormat="false" ht="15.75" hidden="false" customHeight="false" outlineLevel="0" collapsed="false">
      <c r="E1092" s="193"/>
      <c r="J1092" s="194"/>
      <c r="K1092" s="194"/>
      <c r="L1092" s="194"/>
      <c r="M1092" s="195"/>
    </row>
    <row r="1093" customFormat="false" ht="15.75" hidden="false" customHeight="false" outlineLevel="0" collapsed="false">
      <c r="E1093" s="193"/>
      <c r="J1093" s="194"/>
      <c r="K1093" s="194"/>
      <c r="L1093" s="194"/>
      <c r="M1093" s="195"/>
    </row>
    <row r="1094" customFormat="false" ht="15.75" hidden="false" customHeight="false" outlineLevel="0" collapsed="false">
      <c r="E1094" s="193"/>
      <c r="J1094" s="194"/>
      <c r="K1094" s="194"/>
      <c r="L1094" s="194"/>
      <c r="M1094" s="195"/>
    </row>
    <row r="1095" customFormat="false" ht="15.75" hidden="false" customHeight="false" outlineLevel="0" collapsed="false">
      <c r="E1095" s="193"/>
      <c r="J1095" s="194"/>
      <c r="K1095" s="194"/>
      <c r="L1095" s="194"/>
      <c r="M1095" s="195"/>
    </row>
    <row r="1096" customFormat="false" ht="15.75" hidden="false" customHeight="false" outlineLevel="0" collapsed="false">
      <c r="E1096" s="193"/>
      <c r="J1096" s="194"/>
      <c r="K1096" s="194"/>
      <c r="L1096" s="194"/>
      <c r="M1096" s="195"/>
    </row>
    <row r="1097" customFormat="false" ht="15.75" hidden="false" customHeight="false" outlineLevel="0" collapsed="false">
      <c r="E1097" s="193"/>
      <c r="J1097" s="194"/>
      <c r="K1097" s="194"/>
      <c r="L1097" s="194"/>
      <c r="M1097" s="195"/>
    </row>
    <row r="1098" customFormat="false" ht="15.75" hidden="false" customHeight="false" outlineLevel="0" collapsed="false">
      <c r="E1098" s="193"/>
      <c r="J1098" s="194"/>
      <c r="K1098" s="194"/>
      <c r="L1098" s="194"/>
      <c r="M1098" s="195"/>
    </row>
    <row r="1099" customFormat="false" ht="15.75" hidden="false" customHeight="false" outlineLevel="0" collapsed="false">
      <c r="E1099" s="193"/>
      <c r="J1099" s="194"/>
      <c r="K1099" s="194"/>
      <c r="L1099" s="194"/>
      <c r="M1099" s="195"/>
    </row>
    <row r="1100" customFormat="false" ht="15.75" hidden="false" customHeight="false" outlineLevel="0" collapsed="false">
      <c r="E1100" s="193"/>
      <c r="J1100" s="194"/>
      <c r="K1100" s="194"/>
      <c r="L1100" s="194"/>
      <c r="M1100" s="195"/>
    </row>
    <row r="1101" customFormat="false" ht="15.75" hidden="false" customHeight="false" outlineLevel="0" collapsed="false">
      <c r="E1101" s="193"/>
      <c r="J1101" s="194"/>
      <c r="K1101" s="194"/>
      <c r="L1101" s="194"/>
      <c r="M1101" s="195"/>
    </row>
    <row r="1102" customFormat="false" ht="15.75" hidden="false" customHeight="false" outlineLevel="0" collapsed="false">
      <c r="E1102" s="193"/>
      <c r="J1102" s="194"/>
      <c r="K1102" s="194"/>
      <c r="L1102" s="194"/>
      <c r="M1102" s="195"/>
    </row>
    <row r="1103" customFormat="false" ht="15.75" hidden="false" customHeight="false" outlineLevel="0" collapsed="false">
      <c r="E1103" s="193"/>
      <c r="J1103" s="194"/>
      <c r="K1103" s="194"/>
      <c r="L1103" s="194"/>
      <c r="M1103" s="195"/>
    </row>
    <row r="1104" customFormat="false" ht="15.75" hidden="false" customHeight="false" outlineLevel="0" collapsed="false">
      <c r="E1104" s="193"/>
      <c r="J1104" s="194"/>
      <c r="K1104" s="194"/>
      <c r="L1104" s="194"/>
      <c r="M1104" s="195"/>
    </row>
    <row r="1105" customFormat="false" ht="15.75" hidden="false" customHeight="false" outlineLevel="0" collapsed="false">
      <c r="E1105" s="193"/>
      <c r="J1105" s="194"/>
      <c r="K1105" s="194"/>
      <c r="L1105" s="194"/>
      <c r="M1105" s="195"/>
    </row>
    <row r="1106" customFormat="false" ht="15.75" hidden="false" customHeight="false" outlineLevel="0" collapsed="false">
      <c r="E1106" s="193"/>
      <c r="J1106" s="194"/>
      <c r="K1106" s="194"/>
      <c r="L1106" s="194"/>
      <c r="M1106" s="195"/>
    </row>
    <row r="1107" customFormat="false" ht="15.75" hidden="false" customHeight="false" outlineLevel="0" collapsed="false">
      <c r="E1107" s="193"/>
      <c r="J1107" s="194"/>
      <c r="K1107" s="194"/>
      <c r="L1107" s="194"/>
      <c r="M1107" s="195"/>
    </row>
    <row r="1108" customFormat="false" ht="15.75" hidden="false" customHeight="false" outlineLevel="0" collapsed="false">
      <c r="E1108" s="193"/>
      <c r="J1108" s="194"/>
      <c r="K1108" s="194"/>
      <c r="L1108" s="194"/>
      <c r="M1108" s="195"/>
    </row>
    <row r="1109" customFormat="false" ht="15.75" hidden="false" customHeight="false" outlineLevel="0" collapsed="false">
      <c r="E1109" s="193"/>
      <c r="J1109" s="194"/>
      <c r="K1109" s="194"/>
      <c r="L1109" s="194"/>
      <c r="M1109" s="195"/>
    </row>
    <row r="1110" customFormat="false" ht="15.75" hidden="false" customHeight="false" outlineLevel="0" collapsed="false">
      <c r="E1110" s="193"/>
      <c r="J1110" s="194"/>
      <c r="K1110" s="194"/>
      <c r="L1110" s="194"/>
      <c r="M1110" s="195"/>
    </row>
    <row r="1111" customFormat="false" ht="15.75" hidden="false" customHeight="false" outlineLevel="0" collapsed="false">
      <c r="E1111" s="193"/>
      <c r="J1111" s="194"/>
      <c r="K1111" s="194"/>
      <c r="L1111" s="194"/>
      <c r="M1111" s="195"/>
    </row>
    <row r="1112" customFormat="false" ht="15.75" hidden="false" customHeight="false" outlineLevel="0" collapsed="false">
      <c r="E1112" s="193"/>
      <c r="J1112" s="194"/>
      <c r="K1112" s="194"/>
      <c r="L1112" s="194"/>
      <c r="M1112" s="195"/>
    </row>
    <row r="1113" customFormat="false" ht="15.75" hidden="false" customHeight="false" outlineLevel="0" collapsed="false">
      <c r="E1113" s="193"/>
      <c r="J1113" s="194"/>
      <c r="K1113" s="194"/>
      <c r="L1113" s="194"/>
      <c r="M1113" s="195"/>
    </row>
    <row r="1114" customFormat="false" ht="15.75" hidden="false" customHeight="false" outlineLevel="0" collapsed="false">
      <c r="E1114" s="193"/>
      <c r="J1114" s="194"/>
      <c r="K1114" s="194"/>
      <c r="L1114" s="194"/>
      <c r="M1114" s="195"/>
    </row>
    <row r="1115" customFormat="false" ht="15.75" hidden="false" customHeight="false" outlineLevel="0" collapsed="false">
      <c r="E1115" s="193"/>
      <c r="J1115" s="194"/>
      <c r="K1115" s="194"/>
      <c r="L1115" s="194"/>
      <c r="M1115" s="195"/>
    </row>
    <row r="1116" customFormat="false" ht="15.75" hidden="false" customHeight="false" outlineLevel="0" collapsed="false">
      <c r="E1116" s="193"/>
      <c r="J1116" s="194"/>
      <c r="K1116" s="194"/>
      <c r="L1116" s="194"/>
      <c r="M1116" s="195"/>
    </row>
    <row r="1117" customFormat="false" ht="15.75" hidden="false" customHeight="false" outlineLevel="0" collapsed="false">
      <c r="E1117" s="193"/>
      <c r="J1117" s="194"/>
      <c r="K1117" s="194"/>
      <c r="L1117" s="194"/>
      <c r="M1117" s="195"/>
    </row>
    <row r="1118" customFormat="false" ht="15.75" hidden="false" customHeight="false" outlineLevel="0" collapsed="false">
      <c r="E1118" s="193"/>
      <c r="J1118" s="194"/>
      <c r="K1118" s="194"/>
      <c r="L1118" s="194"/>
      <c r="M1118" s="195"/>
    </row>
    <row r="1119" customFormat="false" ht="15.75" hidden="false" customHeight="false" outlineLevel="0" collapsed="false">
      <c r="E1119" s="193"/>
      <c r="J1119" s="194"/>
      <c r="K1119" s="194"/>
      <c r="L1119" s="194"/>
      <c r="M1119" s="195"/>
    </row>
    <row r="1120" customFormat="false" ht="15.75" hidden="false" customHeight="false" outlineLevel="0" collapsed="false">
      <c r="E1120" s="193"/>
      <c r="J1120" s="194"/>
      <c r="K1120" s="194"/>
      <c r="L1120" s="194"/>
      <c r="M1120" s="195"/>
    </row>
    <row r="1121" customFormat="false" ht="15.75" hidden="false" customHeight="false" outlineLevel="0" collapsed="false">
      <c r="E1121" s="193"/>
      <c r="J1121" s="194"/>
      <c r="K1121" s="194"/>
      <c r="L1121" s="194"/>
      <c r="M1121" s="195"/>
    </row>
    <row r="1122" customFormat="false" ht="15.75" hidden="false" customHeight="false" outlineLevel="0" collapsed="false">
      <c r="E1122" s="193"/>
      <c r="J1122" s="194"/>
      <c r="K1122" s="194"/>
      <c r="L1122" s="194"/>
      <c r="M1122" s="195"/>
    </row>
    <row r="1123" customFormat="false" ht="15.75" hidden="false" customHeight="false" outlineLevel="0" collapsed="false">
      <c r="E1123" s="193"/>
      <c r="J1123" s="194"/>
      <c r="K1123" s="194"/>
      <c r="L1123" s="194"/>
      <c r="M1123" s="195"/>
    </row>
    <row r="1124" customFormat="false" ht="15.75" hidden="false" customHeight="false" outlineLevel="0" collapsed="false">
      <c r="E1124" s="193"/>
      <c r="J1124" s="194"/>
      <c r="K1124" s="194"/>
      <c r="L1124" s="194"/>
      <c r="M1124" s="195"/>
    </row>
    <row r="1125" customFormat="false" ht="15.75" hidden="false" customHeight="false" outlineLevel="0" collapsed="false">
      <c r="E1125" s="193"/>
      <c r="J1125" s="194"/>
      <c r="K1125" s="194"/>
      <c r="L1125" s="194"/>
      <c r="M1125" s="195"/>
    </row>
    <row r="1126" customFormat="false" ht="15.75" hidden="false" customHeight="false" outlineLevel="0" collapsed="false">
      <c r="E1126" s="193"/>
      <c r="J1126" s="194"/>
      <c r="K1126" s="194"/>
      <c r="L1126" s="194"/>
      <c r="M1126" s="195"/>
    </row>
    <row r="1127" customFormat="false" ht="15.75" hidden="false" customHeight="false" outlineLevel="0" collapsed="false">
      <c r="E1127" s="193"/>
      <c r="J1127" s="194"/>
      <c r="K1127" s="194"/>
      <c r="L1127" s="194"/>
      <c r="M1127" s="195"/>
    </row>
    <row r="1128" customFormat="false" ht="15.75" hidden="false" customHeight="false" outlineLevel="0" collapsed="false">
      <c r="E1128" s="193"/>
      <c r="J1128" s="194"/>
      <c r="K1128" s="194"/>
      <c r="L1128" s="194"/>
      <c r="M1128" s="195"/>
    </row>
    <row r="1129" customFormat="false" ht="15.75" hidden="false" customHeight="false" outlineLevel="0" collapsed="false">
      <c r="E1129" s="193"/>
      <c r="J1129" s="194"/>
      <c r="K1129" s="194"/>
      <c r="L1129" s="194"/>
      <c r="M1129" s="195"/>
    </row>
    <row r="1130" customFormat="false" ht="15.75" hidden="false" customHeight="false" outlineLevel="0" collapsed="false">
      <c r="E1130" s="193"/>
      <c r="J1130" s="194"/>
      <c r="K1130" s="194"/>
      <c r="L1130" s="194"/>
      <c r="M1130" s="195"/>
    </row>
    <row r="1131" customFormat="false" ht="15.75" hidden="false" customHeight="false" outlineLevel="0" collapsed="false">
      <c r="E1131" s="193"/>
      <c r="J1131" s="194"/>
      <c r="K1131" s="194"/>
      <c r="L1131" s="194"/>
      <c r="M1131" s="195"/>
    </row>
    <row r="1132" customFormat="false" ht="15.75" hidden="false" customHeight="false" outlineLevel="0" collapsed="false">
      <c r="E1132" s="193"/>
      <c r="J1132" s="194"/>
      <c r="K1132" s="194"/>
      <c r="L1132" s="194"/>
      <c r="M1132" s="195"/>
    </row>
    <row r="1133" customFormat="false" ht="15.75" hidden="false" customHeight="false" outlineLevel="0" collapsed="false">
      <c r="E1133" s="193"/>
      <c r="J1133" s="194"/>
      <c r="K1133" s="194"/>
      <c r="L1133" s="194"/>
      <c r="M1133" s="195"/>
    </row>
    <row r="1134" customFormat="false" ht="15.75" hidden="false" customHeight="false" outlineLevel="0" collapsed="false">
      <c r="E1134" s="193"/>
      <c r="J1134" s="194"/>
      <c r="K1134" s="194"/>
      <c r="L1134" s="194"/>
      <c r="M1134" s="195"/>
    </row>
    <row r="1135" customFormat="false" ht="15.75" hidden="false" customHeight="false" outlineLevel="0" collapsed="false">
      <c r="E1135" s="193"/>
      <c r="J1135" s="194"/>
      <c r="K1135" s="194"/>
      <c r="L1135" s="194"/>
      <c r="M1135" s="195"/>
    </row>
    <row r="1136" customFormat="false" ht="15.75" hidden="false" customHeight="false" outlineLevel="0" collapsed="false">
      <c r="E1136" s="193"/>
      <c r="J1136" s="194"/>
      <c r="K1136" s="194"/>
      <c r="L1136" s="194"/>
      <c r="M1136" s="195"/>
    </row>
    <row r="1137" customFormat="false" ht="15.75" hidden="false" customHeight="false" outlineLevel="0" collapsed="false">
      <c r="E1137" s="193"/>
      <c r="J1137" s="194"/>
      <c r="K1137" s="194"/>
      <c r="L1137" s="194"/>
      <c r="M1137" s="195"/>
    </row>
    <row r="1138" customFormat="false" ht="15.75" hidden="false" customHeight="false" outlineLevel="0" collapsed="false">
      <c r="E1138" s="193"/>
      <c r="J1138" s="194"/>
      <c r="K1138" s="194"/>
      <c r="L1138" s="194"/>
      <c r="M1138" s="195"/>
    </row>
    <row r="1139" customFormat="false" ht="15.75" hidden="false" customHeight="false" outlineLevel="0" collapsed="false">
      <c r="E1139" s="193"/>
      <c r="J1139" s="194"/>
      <c r="K1139" s="194"/>
      <c r="L1139" s="194"/>
      <c r="M1139" s="195"/>
    </row>
    <row r="1140" customFormat="false" ht="15.75" hidden="false" customHeight="false" outlineLevel="0" collapsed="false">
      <c r="E1140" s="193"/>
      <c r="J1140" s="194"/>
      <c r="K1140" s="194"/>
      <c r="L1140" s="194"/>
      <c r="M1140" s="195"/>
    </row>
    <row r="1141" customFormat="false" ht="15.75" hidden="false" customHeight="false" outlineLevel="0" collapsed="false">
      <c r="E1141" s="193"/>
      <c r="J1141" s="194"/>
      <c r="K1141" s="194"/>
      <c r="L1141" s="194"/>
      <c r="M1141" s="195"/>
    </row>
    <row r="1142" customFormat="false" ht="15.75" hidden="false" customHeight="false" outlineLevel="0" collapsed="false">
      <c r="E1142" s="193"/>
      <c r="J1142" s="194"/>
      <c r="K1142" s="194"/>
      <c r="L1142" s="194"/>
      <c r="M1142" s="195"/>
    </row>
    <row r="1143" customFormat="false" ht="15.75" hidden="false" customHeight="false" outlineLevel="0" collapsed="false">
      <c r="E1143" s="193"/>
      <c r="J1143" s="194"/>
      <c r="K1143" s="194"/>
      <c r="L1143" s="194"/>
      <c r="M1143" s="195"/>
    </row>
    <row r="1144" customFormat="false" ht="15.75" hidden="false" customHeight="false" outlineLevel="0" collapsed="false">
      <c r="E1144" s="193"/>
      <c r="J1144" s="194"/>
      <c r="K1144" s="194"/>
      <c r="L1144" s="194"/>
      <c r="M1144" s="195"/>
    </row>
    <row r="1145" customFormat="false" ht="15.75" hidden="false" customHeight="false" outlineLevel="0" collapsed="false">
      <c r="E1145" s="193"/>
      <c r="J1145" s="194"/>
      <c r="K1145" s="194"/>
      <c r="L1145" s="194"/>
      <c r="M1145" s="195"/>
    </row>
    <row r="1146" customFormat="false" ht="15.75" hidden="false" customHeight="false" outlineLevel="0" collapsed="false">
      <c r="E1146" s="193"/>
      <c r="J1146" s="194"/>
      <c r="K1146" s="194"/>
      <c r="L1146" s="194"/>
      <c r="M1146" s="195"/>
    </row>
    <row r="1147" customFormat="false" ht="15.75" hidden="false" customHeight="false" outlineLevel="0" collapsed="false">
      <c r="E1147" s="193"/>
      <c r="J1147" s="194"/>
      <c r="K1147" s="194"/>
      <c r="L1147" s="194"/>
      <c r="M1147" s="195"/>
    </row>
    <row r="1148" customFormat="false" ht="15.75" hidden="false" customHeight="false" outlineLevel="0" collapsed="false">
      <c r="E1148" s="193"/>
      <c r="J1148" s="194"/>
      <c r="K1148" s="194"/>
      <c r="L1148" s="194"/>
      <c r="M1148" s="195"/>
    </row>
    <row r="1149" customFormat="false" ht="15.75" hidden="false" customHeight="false" outlineLevel="0" collapsed="false">
      <c r="E1149" s="193"/>
      <c r="J1149" s="194"/>
      <c r="K1149" s="194"/>
      <c r="L1149" s="194"/>
      <c r="M1149" s="195"/>
    </row>
    <row r="1150" customFormat="false" ht="15.75" hidden="false" customHeight="false" outlineLevel="0" collapsed="false">
      <c r="E1150" s="193"/>
      <c r="J1150" s="194"/>
      <c r="K1150" s="194"/>
      <c r="L1150" s="194"/>
      <c r="M1150" s="195"/>
    </row>
    <row r="1151" customFormat="false" ht="15.75" hidden="false" customHeight="false" outlineLevel="0" collapsed="false">
      <c r="E1151" s="193"/>
      <c r="J1151" s="194"/>
      <c r="K1151" s="194"/>
      <c r="L1151" s="194"/>
      <c r="M1151" s="195"/>
    </row>
    <row r="1152" customFormat="false" ht="15.75" hidden="false" customHeight="false" outlineLevel="0" collapsed="false">
      <c r="E1152" s="193"/>
      <c r="J1152" s="194"/>
      <c r="K1152" s="194"/>
      <c r="L1152" s="194"/>
      <c r="M1152" s="195"/>
    </row>
    <row r="1153" customFormat="false" ht="15.75" hidden="false" customHeight="false" outlineLevel="0" collapsed="false">
      <c r="E1153" s="193"/>
      <c r="J1153" s="194"/>
      <c r="K1153" s="194"/>
      <c r="L1153" s="194"/>
      <c r="M1153" s="195"/>
    </row>
    <row r="1154" customFormat="false" ht="15.75" hidden="false" customHeight="false" outlineLevel="0" collapsed="false">
      <c r="E1154" s="193"/>
      <c r="J1154" s="194"/>
      <c r="K1154" s="194"/>
      <c r="L1154" s="194"/>
      <c r="M1154" s="195"/>
    </row>
    <row r="1155" customFormat="false" ht="15.75" hidden="false" customHeight="false" outlineLevel="0" collapsed="false">
      <c r="E1155" s="193"/>
      <c r="J1155" s="194"/>
      <c r="K1155" s="194"/>
      <c r="L1155" s="194"/>
      <c r="M1155" s="195"/>
    </row>
    <row r="1156" customFormat="false" ht="15.75" hidden="false" customHeight="false" outlineLevel="0" collapsed="false">
      <c r="E1156" s="193"/>
      <c r="J1156" s="194"/>
      <c r="K1156" s="194"/>
      <c r="L1156" s="194"/>
      <c r="M1156" s="195"/>
    </row>
    <row r="1157" customFormat="false" ht="15.75" hidden="false" customHeight="false" outlineLevel="0" collapsed="false">
      <c r="E1157" s="193"/>
      <c r="J1157" s="194"/>
      <c r="K1157" s="194"/>
      <c r="L1157" s="194"/>
      <c r="M1157" s="195"/>
    </row>
    <row r="1158" customFormat="false" ht="15.75" hidden="false" customHeight="false" outlineLevel="0" collapsed="false">
      <c r="E1158" s="193"/>
      <c r="J1158" s="194"/>
      <c r="K1158" s="194"/>
      <c r="L1158" s="194"/>
      <c r="M1158" s="195"/>
    </row>
    <row r="1159" customFormat="false" ht="15.75" hidden="false" customHeight="false" outlineLevel="0" collapsed="false">
      <c r="E1159" s="193"/>
      <c r="J1159" s="194"/>
      <c r="K1159" s="194"/>
      <c r="L1159" s="194"/>
      <c r="M1159" s="195"/>
    </row>
    <row r="1160" customFormat="false" ht="15.75" hidden="false" customHeight="false" outlineLevel="0" collapsed="false">
      <c r="E1160" s="193"/>
      <c r="J1160" s="194"/>
      <c r="K1160" s="194"/>
      <c r="L1160" s="194"/>
      <c r="M1160" s="195"/>
    </row>
    <row r="1161" customFormat="false" ht="15.75" hidden="false" customHeight="false" outlineLevel="0" collapsed="false">
      <c r="E1161" s="193"/>
      <c r="J1161" s="194"/>
      <c r="K1161" s="194"/>
      <c r="L1161" s="194"/>
      <c r="M1161" s="195"/>
    </row>
    <row r="1162" customFormat="false" ht="15.75" hidden="false" customHeight="false" outlineLevel="0" collapsed="false">
      <c r="E1162" s="193"/>
      <c r="J1162" s="194"/>
      <c r="K1162" s="194"/>
      <c r="L1162" s="194"/>
      <c r="M1162" s="195"/>
    </row>
    <row r="1163" customFormat="false" ht="15.75" hidden="false" customHeight="false" outlineLevel="0" collapsed="false">
      <c r="E1163" s="193"/>
      <c r="J1163" s="194"/>
      <c r="K1163" s="194"/>
      <c r="L1163" s="194"/>
      <c r="M1163" s="195"/>
    </row>
    <row r="1164" customFormat="false" ht="15.75" hidden="false" customHeight="false" outlineLevel="0" collapsed="false">
      <c r="E1164" s="193"/>
      <c r="J1164" s="194"/>
      <c r="K1164" s="194"/>
      <c r="L1164" s="194"/>
      <c r="M1164" s="195"/>
    </row>
    <row r="1165" customFormat="false" ht="15.75" hidden="false" customHeight="false" outlineLevel="0" collapsed="false">
      <c r="E1165" s="193"/>
      <c r="J1165" s="194"/>
      <c r="K1165" s="194"/>
      <c r="L1165" s="194"/>
      <c r="M1165" s="195"/>
    </row>
    <row r="1166" customFormat="false" ht="15.75" hidden="false" customHeight="false" outlineLevel="0" collapsed="false">
      <c r="E1166" s="193"/>
      <c r="J1166" s="194"/>
      <c r="K1166" s="194"/>
      <c r="L1166" s="194"/>
      <c r="M1166" s="195"/>
    </row>
    <row r="1167" customFormat="false" ht="15.75" hidden="false" customHeight="false" outlineLevel="0" collapsed="false">
      <c r="E1167" s="193"/>
      <c r="J1167" s="194"/>
      <c r="K1167" s="194"/>
      <c r="L1167" s="194"/>
      <c r="M1167" s="195"/>
    </row>
    <row r="1168" customFormat="false" ht="15.75" hidden="false" customHeight="false" outlineLevel="0" collapsed="false">
      <c r="E1168" s="193"/>
      <c r="J1168" s="194"/>
      <c r="K1168" s="194"/>
      <c r="L1168" s="194"/>
      <c r="M1168" s="195"/>
    </row>
    <row r="1169" customFormat="false" ht="15.75" hidden="false" customHeight="false" outlineLevel="0" collapsed="false">
      <c r="E1169" s="193"/>
      <c r="J1169" s="194"/>
      <c r="K1169" s="194"/>
      <c r="L1169" s="194"/>
      <c r="M1169" s="195"/>
    </row>
    <row r="1170" customFormat="false" ht="15.75" hidden="false" customHeight="false" outlineLevel="0" collapsed="false">
      <c r="E1170" s="193"/>
      <c r="J1170" s="194"/>
      <c r="K1170" s="194"/>
      <c r="L1170" s="194"/>
      <c r="M1170" s="195"/>
    </row>
    <row r="1171" customFormat="false" ht="15.75" hidden="false" customHeight="false" outlineLevel="0" collapsed="false">
      <c r="E1171" s="193"/>
      <c r="J1171" s="194"/>
      <c r="K1171" s="194"/>
      <c r="L1171" s="194"/>
      <c r="M1171" s="195"/>
    </row>
    <row r="1172" customFormat="false" ht="15.75" hidden="false" customHeight="false" outlineLevel="0" collapsed="false">
      <c r="E1172" s="193"/>
      <c r="J1172" s="194"/>
      <c r="K1172" s="194"/>
      <c r="L1172" s="194"/>
      <c r="M1172" s="195"/>
    </row>
    <row r="1173" customFormat="false" ht="15.75" hidden="false" customHeight="false" outlineLevel="0" collapsed="false">
      <c r="E1173" s="193"/>
      <c r="J1173" s="194"/>
      <c r="K1173" s="194"/>
      <c r="L1173" s="194"/>
      <c r="M1173" s="195"/>
    </row>
    <row r="1174" customFormat="false" ht="15.75" hidden="false" customHeight="false" outlineLevel="0" collapsed="false">
      <c r="E1174" s="193"/>
      <c r="J1174" s="194"/>
      <c r="K1174" s="194"/>
      <c r="L1174" s="194"/>
      <c r="M1174" s="195"/>
    </row>
    <row r="1175" customFormat="false" ht="15.75" hidden="false" customHeight="false" outlineLevel="0" collapsed="false">
      <c r="E1175" s="193"/>
      <c r="J1175" s="194"/>
      <c r="K1175" s="194"/>
      <c r="L1175" s="194"/>
      <c r="M1175" s="195"/>
    </row>
    <row r="1176" customFormat="false" ht="15.75" hidden="false" customHeight="false" outlineLevel="0" collapsed="false">
      <c r="E1176" s="193"/>
      <c r="J1176" s="194"/>
      <c r="K1176" s="194"/>
      <c r="L1176" s="194"/>
      <c r="M1176" s="195"/>
    </row>
    <row r="1177" customFormat="false" ht="15.75" hidden="false" customHeight="false" outlineLevel="0" collapsed="false">
      <c r="E1177" s="193"/>
      <c r="J1177" s="194"/>
      <c r="K1177" s="194"/>
      <c r="L1177" s="194"/>
      <c r="M1177" s="195"/>
    </row>
    <row r="1178" customFormat="false" ht="15.75" hidden="false" customHeight="false" outlineLevel="0" collapsed="false">
      <c r="E1178" s="193"/>
      <c r="J1178" s="194"/>
      <c r="K1178" s="194"/>
      <c r="L1178" s="194"/>
      <c r="M1178" s="195"/>
    </row>
    <row r="1179" customFormat="false" ht="15.75" hidden="false" customHeight="false" outlineLevel="0" collapsed="false">
      <c r="E1179" s="193"/>
      <c r="J1179" s="194"/>
      <c r="K1179" s="194"/>
      <c r="L1179" s="194"/>
      <c r="M1179" s="195"/>
    </row>
    <row r="1180" customFormat="false" ht="15.75" hidden="false" customHeight="false" outlineLevel="0" collapsed="false">
      <c r="E1180" s="193"/>
      <c r="J1180" s="194"/>
      <c r="K1180" s="194"/>
      <c r="L1180" s="194"/>
      <c r="M1180" s="195"/>
    </row>
    <row r="1181" customFormat="false" ht="15.75" hidden="false" customHeight="false" outlineLevel="0" collapsed="false">
      <c r="E1181" s="193"/>
      <c r="J1181" s="194"/>
      <c r="K1181" s="194"/>
      <c r="L1181" s="194"/>
      <c r="M1181" s="195"/>
    </row>
    <row r="1182" customFormat="false" ht="15.75" hidden="false" customHeight="false" outlineLevel="0" collapsed="false">
      <c r="E1182" s="193"/>
      <c r="J1182" s="194"/>
      <c r="K1182" s="194"/>
      <c r="L1182" s="194"/>
      <c r="M1182" s="195"/>
    </row>
    <row r="1183" customFormat="false" ht="15.75" hidden="false" customHeight="false" outlineLevel="0" collapsed="false">
      <c r="E1183" s="193"/>
      <c r="J1183" s="194"/>
      <c r="K1183" s="194"/>
      <c r="L1183" s="194"/>
      <c r="M1183" s="195"/>
    </row>
    <row r="1184" customFormat="false" ht="15.75" hidden="false" customHeight="false" outlineLevel="0" collapsed="false">
      <c r="E1184" s="193"/>
      <c r="J1184" s="194"/>
      <c r="K1184" s="194"/>
      <c r="L1184" s="194"/>
      <c r="M1184" s="195"/>
    </row>
    <row r="1185" customFormat="false" ht="15.75" hidden="false" customHeight="false" outlineLevel="0" collapsed="false">
      <c r="E1185" s="193"/>
      <c r="J1185" s="194"/>
      <c r="K1185" s="194"/>
      <c r="L1185" s="194"/>
      <c r="M1185" s="195"/>
    </row>
    <row r="1186" customFormat="false" ht="15.75" hidden="false" customHeight="false" outlineLevel="0" collapsed="false">
      <c r="E1186" s="193"/>
      <c r="J1186" s="194"/>
      <c r="K1186" s="194"/>
      <c r="L1186" s="194"/>
      <c r="M1186" s="195"/>
    </row>
    <row r="1187" customFormat="false" ht="15.75" hidden="false" customHeight="false" outlineLevel="0" collapsed="false">
      <c r="E1187" s="193"/>
      <c r="J1187" s="194"/>
      <c r="K1187" s="194"/>
      <c r="L1187" s="194"/>
      <c r="M1187" s="195"/>
    </row>
    <row r="1188" customFormat="false" ht="15.75" hidden="false" customHeight="false" outlineLevel="0" collapsed="false">
      <c r="E1188" s="193"/>
      <c r="J1188" s="194"/>
      <c r="K1188" s="194"/>
      <c r="L1188" s="194"/>
      <c r="M1188" s="195"/>
    </row>
    <row r="1189" customFormat="false" ht="15.75" hidden="false" customHeight="false" outlineLevel="0" collapsed="false">
      <c r="E1189" s="193"/>
      <c r="J1189" s="194"/>
      <c r="K1189" s="194"/>
      <c r="L1189" s="194"/>
      <c r="M1189" s="195"/>
    </row>
    <row r="1190" customFormat="false" ht="15.75" hidden="false" customHeight="false" outlineLevel="0" collapsed="false">
      <c r="E1190" s="193"/>
      <c r="J1190" s="194"/>
      <c r="K1190" s="194"/>
      <c r="L1190" s="194"/>
      <c r="M1190" s="195"/>
    </row>
    <row r="1191" customFormat="false" ht="15.75" hidden="false" customHeight="false" outlineLevel="0" collapsed="false">
      <c r="E1191" s="193"/>
      <c r="J1191" s="194"/>
      <c r="K1191" s="194"/>
      <c r="L1191" s="194"/>
      <c r="M1191" s="195"/>
    </row>
    <row r="1192" customFormat="false" ht="15.75" hidden="false" customHeight="false" outlineLevel="0" collapsed="false">
      <c r="E1192" s="193"/>
      <c r="J1192" s="194"/>
      <c r="K1192" s="194"/>
      <c r="L1192" s="194"/>
      <c r="M1192" s="195"/>
    </row>
    <row r="1193" customFormat="false" ht="15.75" hidden="false" customHeight="false" outlineLevel="0" collapsed="false">
      <c r="E1193" s="193"/>
      <c r="J1193" s="194"/>
      <c r="K1193" s="194"/>
      <c r="L1193" s="194"/>
      <c r="M1193" s="195"/>
    </row>
    <row r="1194" customFormat="false" ht="15.75" hidden="false" customHeight="false" outlineLevel="0" collapsed="false">
      <c r="E1194" s="193"/>
      <c r="J1194" s="194"/>
      <c r="K1194" s="194"/>
      <c r="L1194" s="194"/>
      <c r="M1194" s="195"/>
    </row>
    <row r="1195" customFormat="false" ht="15.75" hidden="false" customHeight="false" outlineLevel="0" collapsed="false">
      <c r="E1195" s="193"/>
      <c r="J1195" s="194"/>
      <c r="K1195" s="194"/>
      <c r="L1195" s="194"/>
      <c r="M1195" s="195"/>
    </row>
    <row r="1196" customFormat="false" ht="15.75" hidden="false" customHeight="false" outlineLevel="0" collapsed="false">
      <c r="E1196" s="193"/>
      <c r="J1196" s="194"/>
      <c r="K1196" s="194"/>
      <c r="L1196" s="194"/>
      <c r="M1196" s="195"/>
    </row>
    <row r="1197" customFormat="false" ht="15.75" hidden="false" customHeight="false" outlineLevel="0" collapsed="false">
      <c r="E1197" s="193"/>
      <c r="J1197" s="194"/>
      <c r="K1197" s="194"/>
      <c r="L1197" s="194"/>
      <c r="M1197" s="195"/>
    </row>
    <row r="1198" customFormat="false" ht="15.75" hidden="false" customHeight="false" outlineLevel="0" collapsed="false">
      <c r="E1198" s="193"/>
      <c r="J1198" s="194"/>
      <c r="K1198" s="194"/>
      <c r="L1198" s="194"/>
      <c r="M1198" s="195"/>
    </row>
    <row r="1199" customFormat="false" ht="15.75" hidden="false" customHeight="false" outlineLevel="0" collapsed="false">
      <c r="E1199" s="193"/>
      <c r="J1199" s="194"/>
      <c r="K1199" s="194"/>
      <c r="L1199" s="194"/>
      <c r="M1199" s="195"/>
    </row>
    <row r="1200" customFormat="false" ht="15.75" hidden="false" customHeight="false" outlineLevel="0" collapsed="false">
      <c r="E1200" s="193"/>
      <c r="J1200" s="194"/>
      <c r="K1200" s="194"/>
      <c r="L1200" s="194"/>
      <c r="M1200" s="195"/>
    </row>
    <row r="1201" customFormat="false" ht="15.75" hidden="false" customHeight="false" outlineLevel="0" collapsed="false">
      <c r="E1201" s="193"/>
      <c r="J1201" s="194"/>
      <c r="K1201" s="194"/>
      <c r="L1201" s="194"/>
      <c r="M1201" s="195"/>
    </row>
    <row r="1202" customFormat="false" ht="15.75" hidden="false" customHeight="false" outlineLevel="0" collapsed="false">
      <c r="E1202" s="193"/>
      <c r="J1202" s="194"/>
      <c r="K1202" s="194"/>
      <c r="L1202" s="194"/>
      <c r="M1202" s="195"/>
    </row>
    <row r="1203" customFormat="false" ht="15.75" hidden="false" customHeight="false" outlineLevel="0" collapsed="false">
      <c r="E1203" s="193"/>
      <c r="J1203" s="194"/>
      <c r="K1203" s="194"/>
      <c r="L1203" s="194"/>
      <c r="M1203" s="195"/>
    </row>
    <row r="1204" customFormat="false" ht="15.75" hidden="false" customHeight="false" outlineLevel="0" collapsed="false">
      <c r="E1204" s="193"/>
      <c r="J1204" s="194"/>
      <c r="K1204" s="194"/>
      <c r="L1204" s="194"/>
      <c r="M1204" s="195"/>
    </row>
    <row r="1205" customFormat="false" ht="15.75" hidden="false" customHeight="false" outlineLevel="0" collapsed="false">
      <c r="E1205" s="193"/>
      <c r="J1205" s="194"/>
      <c r="K1205" s="194"/>
      <c r="L1205" s="194"/>
      <c r="M1205" s="195"/>
    </row>
    <row r="1206" customFormat="false" ht="15.75" hidden="false" customHeight="false" outlineLevel="0" collapsed="false">
      <c r="E1206" s="193"/>
      <c r="J1206" s="194"/>
      <c r="K1206" s="194"/>
      <c r="L1206" s="194"/>
      <c r="M1206" s="195"/>
    </row>
    <row r="1207" customFormat="false" ht="15.75" hidden="false" customHeight="false" outlineLevel="0" collapsed="false">
      <c r="E1207" s="193"/>
      <c r="J1207" s="194"/>
      <c r="K1207" s="194"/>
      <c r="L1207" s="194"/>
      <c r="M1207" s="195"/>
    </row>
    <row r="1208" customFormat="false" ht="15.75" hidden="false" customHeight="false" outlineLevel="0" collapsed="false">
      <c r="E1208" s="193"/>
      <c r="J1208" s="194"/>
      <c r="K1208" s="194"/>
      <c r="L1208" s="194"/>
      <c r="M1208" s="195"/>
    </row>
    <row r="1209" customFormat="false" ht="15.75" hidden="false" customHeight="false" outlineLevel="0" collapsed="false">
      <c r="E1209" s="193"/>
      <c r="J1209" s="194"/>
      <c r="K1209" s="194"/>
      <c r="L1209" s="194"/>
      <c r="M1209" s="195"/>
    </row>
    <row r="1210" customFormat="false" ht="15.75" hidden="false" customHeight="false" outlineLevel="0" collapsed="false">
      <c r="E1210" s="193"/>
      <c r="J1210" s="194"/>
      <c r="K1210" s="194"/>
      <c r="L1210" s="194"/>
      <c r="M1210" s="195"/>
    </row>
    <row r="1211" customFormat="false" ht="15.75" hidden="false" customHeight="false" outlineLevel="0" collapsed="false">
      <c r="E1211" s="193"/>
      <c r="J1211" s="194"/>
      <c r="K1211" s="194"/>
      <c r="L1211" s="194"/>
      <c r="M1211" s="195"/>
    </row>
    <row r="1212" customFormat="false" ht="15.75" hidden="false" customHeight="false" outlineLevel="0" collapsed="false">
      <c r="E1212" s="193"/>
      <c r="J1212" s="194"/>
      <c r="K1212" s="194"/>
      <c r="L1212" s="194"/>
      <c r="M1212" s="195"/>
    </row>
    <row r="1213" customFormat="false" ht="15.75" hidden="false" customHeight="false" outlineLevel="0" collapsed="false">
      <c r="E1213" s="193"/>
      <c r="J1213" s="194"/>
      <c r="K1213" s="194"/>
      <c r="L1213" s="194"/>
      <c r="M1213" s="195"/>
    </row>
    <row r="1214" customFormat="false" ht="15.75" hidden="false" customHeight="false" outlineLevel="0" collapsed="false">
      <c r="E1214" s="193"/>
      <c r="J1214" s="194"/>
      <c r="K1214" s="194"/>
      <c r="L1214" s="194"/>
      <c r="M1214" s="195"/>
    </row>
    <row r="1215" customFormat="false" ht="15.75" hidden="false" customHeight="false" outlineLevel="0" collapsed="false">
      <c r="E1215" s="193"/>
      <c r="J1215" s="194"/>
      <c r="K1215" s="194"/>
      <c r="L1215" s="194"/>
      <c r="M1215" s="195"/>
    </row>
    <row r="1216" customFormat="false" ht="15.75" hidden="false" customHeight="false" outlineLevel="0" collapsed="false">
      <c r="E1216" s="193"/>
      <c r="J1216" s="194"/>
      <c r="K1216" s="194"/>
      <c r="L1216" s="194"/>
      <c r="M1216" s="195"/>
    </row>
    <row r="1217" customFormat="false" ht="15.75" hidden="false" customHeight="false" outlineLevel="0" collapsed="false">
      <c r="E1217" s="193"/>
      <c r="J1217" s="194"/>
      <c r="K1217" s="194"/>
      <c r="L1217" s="194"/>
      <c r="M1217" s="195"/>
    </row>
    <row r="1218" customFormat="false" ht="15.75" hidden="false" customHeight="false" outlineLevel="0" collapsed="false">
      <c r="E1218" s="193"/>
      <c r="J1218" s="194"/>
      <c r="K1218" s="194"/>
      <c r="L1218" s="194"/>
      <c r="M1218" s="195"/>
    </row>
    <row r="1219" customFormat="false" ht="15.75" hidden="false" customHeight="false" outlineLevel="0" collapsed="false">
      <c r="E1219" s="193"/>
      <c r="J1219" s="194"/>
      <c r="K1219" s="194"/>
      <c r="L1219" s="194"/>
      <c r="M1219" s="195"/>
    </row>
    <row r="1220" customFormat="false" ht="15.75" hidden="false" customHeight="false" outlineLevel="0" collapsed="false">
      <c r="E1220" s="193"/>
      <c r="J1220" s="194"/>
      <c r="K1220" s="194"/>
      <c r="L1220" s="194"/>
      <c r="M1220" s="195"/>
    </row>
    <row r="1221" customFormat="false" ht="15.75" hidden="false" customHeight="false" outlineLevel="0" collapsed="false">
      <c r="E1221" s="193"/>
      <c r="J1221" s="194"/>
      <c r="K1221" s="194"/>
      <c r="L1221" s="194"/>
      <c r="M1221" s="195"/>
    </row>
    <row r="1222" customFormat="false" ht="15.75" hidden="false" customHeight="false" outlineLevel="0" collapsed="false">
      <c r="E1222" s="193"/>
      <c r="J1222" s="194"/>
      <c r="K1222" s="194"/>
      <c r="L1222" s="194"/>
      <c r="M1222" s="195"/>
    </row>
    <row r="1223" customFormat="false" ht="15.75" hidden="false" customHeight="false" outlineLevel="0" collapsed="false">
      <c r="E1223" s="193"/>
      <c r="J1223" s="194"/>
      <c r="K1223" s="194"/>
      <c r="L1223" s="194"/>
      <c r="M1223" s="195"/>
    </row>
    <row r="1224" customFormat="false" ht="15.75" hidden="false" customHeight="false" outlineLevel="0" collapsed="false">
      <c r="E1224" s="193"/>
      <c r="J1224" s="194"/>
      <c r="K1224" s="194"/>
      <c r="L1224" s="194"/>
      <c r="M1224" s="195"/>
    </row>
    <row r="1225" customFormat="false" ht="15.75" hidden="false" customHeight="false" outlineLevel="0" collapsed="false">
      <c r="E1225" s="193"/>
      <c r="J1225" s="194"/>
      <c r="K1225" s="194"/>
      <c r="L1225" s="194"/>
      <c r="M1225" s="195"/>
    </row>
    <row r="1226" customFormat="false" ht="15.75" hidden="false" customHeight="false" outlineLevel="0" collapsed="false">
      <c r="E1226" s="193"/>
      <c r="J1226" s="194"/>
      <c r="K1226" s="194"/>
      <c r="L1226" s="194"/>
      <c r="M1226" s="195"/>
    </row>
    <row r="1227" customFormat="false" ht="15.75" hidden="false" customHeight="false" outlineLevel="0" collapsed="false">
      <c r="E1227" s="193"/>
      <c r="J1227" s="194"/>
      <c r="K1227" s="194"/>
      <c r="L1227" s="194"/>
      <c r="M1227" s="195"/>
    </row>
    <row r="1228" customFormat="false" ht="15.75" hidden="false" customHeight="false" outlineLevel="0" collapsed="false">
      <c r="E1228" s="193"/>
      <c r="J1228" s="194"/>
      <c r="K1228" s="194"/>
      <c r="L1228" s="194"/>
      <c r="M1228" s="195"/>
    </row>
    <row r="1229" customFormat="false" ht="15.75" hidden="false" customHeight="false" outlineLevel="0" collapsed="false">
      <c r="E1229" s="193"/>
      <c r="J1229" s="194"/>
      <c r="K1229" s="194"/>
      <c r="L1229" s="194"/>
      <c r="M1229" s="195"/>
    </row>
    <row r="1230" customFormat="false" ht="15.75" hidden="false" customHeight="false" outlineLevel="0" collapsed="false">
      <c r="E1230" s="193"/>
      <c r="J1230" s="194"/>
      <c r="K1230" s="194"/>
      <c r="L1230" s="194"/>
      <c r="M1230" s="195"/>
    </row>
    <row r="1231" customFormat="false" ht="15.75" hidden="false" customHeight="false" outlineLevel="0" collapsed="false">
      <c r="E1231" s="193"/>
      <c r="J1231" s="194"/>
      <c r="K1231" s="194"/>
      <c r="L1231" s="194"/>
      <c r="M1231" s="195"/>
    </row>
    <row r="1232" customFormat="false" ht="15.75" hidden="false" customHeight="false" outlineLevel="0" collapsed="false">
      <c r="E1232" s="193"/>
      <c r="J1232" s="194"/>
      <c r="K1232" s="194"/>
      <c r="L1232" s="194"/>
      <c r="M1232" s="195"/>
    </row>
    <row r="1233" customFormat="false" ht="15.75" hidden="false" customHeight="false" outlineLevel="0" collapsed="false">
      <c r="E1233" s="193"/>
      <c r="J1233" s="194"/>
      <c r="K1233" s="194"/>
      <c r="L1233" s="194"/>
      <c r="M1233" s="195"/>
    </row>
    <row r="1234" customFormat="false" ht="15.75" hidden="false" customHeight="false" outlineLevel="0" collapsed="false">
      <c r="E1234" s="193"/>
      <c r="J1234" s="194"/>
      <c r="K1234" s="194"/>
      <c r="L1234" s="194"/>
      <c r="M1234" s="195"/>
    </row>
    <row r="1235" customFormat="false" ht="15.75" hidden="false" customHeight="false" outlineLevel="0" collapsed="false">
      <c r="E1235" s="193"/>
      <c r="J1235" s="194"/>
      <c r="K1235" s="194"/>
      <c r="L1235" s="194"/>
      <c r="M1235" s="195"/>
    </row>
    <row r="1048576" customFormat="false" ht="15.75" hidden="false" customHeight="true" outlineLevel="0" collapsed="false"/>
  </sheetData>
  <conditionalFormatting sqref="J211">
    <cfRule type="expression" priority="2" aboveAverage="0" equalAverage="0" bottom="0" percent="0" rank="0" text="" dxfId="21">
      <formula>#ref!="Terminated"</formula>
    </cfRule>
  </conditionalFormatting>
  <conditionalFormatting sqref="K94 L95 N18 N92:N100">
    <cfRule type="expression" priority="3" aboveAverage="0" equalAverage="0" bottom="0" percent="0" rank="0" text="" dxfId="21">
      <formula>AND($D18&lt;&gt;"", ISBLANK(N18))</formula>
    </cfRule>
  </conditionalFormatting>
  <conditionalFormatting sqref="L94">
    <cfRule type="expression" priority="4" aboveAverage="0" equalAverage="0" bottom="0" percent="0" rank="0" text="" dxfId="21">
      <formula>AND($D94&lt;&gt;"", ISBLANK(L94))</formula>
    </cfRule>
  </conditionalFormatting>
  <conditionalFormatting sqref="C102:C104">
    <cfRule type="expression" priority="5" aboveAverage="0" equalAverage="0" bottom="0" percent="0" rank="0" text="" dxfId="21">
      <formula>$H101="Terminated"</formula>
    </cfRule>
  </conditionalFormatting>
  <conditionalFormatting sqref="C83:C100 C105:C164 D83:D105 D107:D116 D118:D164">
    <cfRule type="expression" priority="6" aboveAverage="0" equalAverage="0" bottom="0" percent="0" rank="0" text="" dxfId="21">
      <formula>$H83="Terminated"</formula>
    </cfRule>
  </conditionalFormatting>
  <conditionalFormatting sqref="C216 D2:D164 D190:D2012 E216">
    <cfRule type="expression" priority="7" aboveAverage="0" equalAverage="0" bottom="0" percent="0" rank="0" text="" dxfId="21">
      <formula>$I2="Terminated"</formula>
    </cfRule>
  </conditionalFormatting>
  <conditionalFormatting sqref="C2:C164 C190:C2012 D216">
    <cfRule type="expression" priority="8" aboveAverage="0" equalAverage="0" bottom="0" percent="0" rank="0" text="" dxfId="21">
      <formula>$I2="Terminated"</formula>
    </cfRule>
  </conditionalFormatting>
  <conditionalFormatting sqref="A2:A164 A190:A212 A214:A2012 B216 J213">
    <cfRule type="expression" priority="9" aboveAverage="0" equalAverage="0" bottom="0" percent="0" rank="0" text="" dxfId="21">
      <formula>$I2="Terminated"</formula>
    </cfRule>
  </conditionalFormatting>
  <conditionalFormatting sqref="G2:G164 G190:G2012 H216">
    <cfRule type="expression" priority="10" aboveAverage="0" equalAverage="0" bottom="0" percent="0" rank="0" text="" dxfId="21">
      <formula>$I2="Terminated"</formula>
    </cfRule>
  </conditionalFormatting>
  <conditionalFormatting sqref="M2:M164 M190:M2012 N216">
    <cfRule type="expression" priority="11" aboveAverage="0" equalAverage="0" bottom="0" percent="0" rank="0" text="" dxfId="21">
      <formula>$I2="Terminated"</formula>
    </cfRule>
  </conditionalFormatting>
  <conditionalFormatting sqref="N2:N164 N190:N2012 O216">
    <cfRule type="expression" priority="12" aboveAverage="0" equalAverage="0" bottom="0" percent="0" rank="0" text="" dxfId="21">
      <formula>$I2="Terminated"</formula>
    </cfRule>
  </conditionalFormatting>
  <conditionalFormatting sqref="O2:O165 O190:O2012 P211 P216">
    <cfRule type="expression" priority="13" aboveAverage="0" equalAverage="0" bottom="0" percent="0" rank="0" text="" dxfId="21">
      <formula>$I2="Terminated"</formula>
    </cfRule>
  </conditionalFormatting>
  <conditionalFormatting sqref="P2:P164 P190:P900 Q216">
    <cfRule type="expression" priority="14" aboveAverage="0" equalAverage="0" bottom="0" percent="0" rank="0" text="" dxfId="21">
      <formula>$I2="Terminated"</formula>
    </cfRule>
  </conditionalFormatting>
  <conditionalFormatting sqref="Q2:Q164 Q190:Q2012 R216">
    <cfRule type="expression" priority="15" aboveAverage="0" equalAverage="0" bottom="0" percent="0" rank="0" text="" dxfId="21">
      <formula>$I2="Terminated"</formula>
    </cfRule>
  </conditionalFormatting>
  <conditionalFormatting sqref="R2:R164 R190:R2012 S216">
    <cfRule type="expression" priority="16" aboveAverage="0" equalAverage="0" bottom="0" percent="0" rank="0" text="" dxfId="21">
      <formula>$I2="Terminated"</formula>
    </cfRule>
  </conditionalFormatting>
  <conditionalFormatting sqref="S2:S164 S190:S2012 T216:T219">
    <cfRule type="expression" priority="17" aboveAverage="0" equalAverage="0" bottom="0" percent="0" rank="0" text="" dxfId="21">
      <formula>$I2="Terminated"</formula>
    </cfRule>
  </conditionalFormatting>
  <conditionalFormatting sqref="T2:T165 T190:T2012 U216">
    <cfRule type="expression" priority="18" aboveAverage="0" equalAverage="0" bottom="0" percent="0" rank="0" text="" dxfId="21">
      <formula>$I2="Terminated"</formula>
    </cfRule>
  </conditionalFormatting>
  <conditionalFormatting sqref="U2:V167 U190:V2012 W216">
    <cfRule type="expression" priority="19" aboveAverage="0" equalAverage="0" bottom="0" percent="0" rank="0" text="" dxfId="21">
      <formula>$I2="Terminated"</formula>
    </cfRule>
  </conditionalFormatting>
  <conditionalFormatting sqref="W2:W167 W190:W2012 X216">
    <cfRule type="expression" priority="20" aboveAverage="0" equalAverage="0" bottom="0" percent="0" rank="0" text="" dxfId="21">
      <formula>$I2="Terminated"</formula>
    </cfRule>
  </conditionalFormatting>
  <conditionalFormatting sqref="X2:X167 X190:X2012">
    <cfRule type="expression" priority="21" aboveAverage="0" equalAverage="0" bottom="0" percent="0" rank="0" text="" dxfId="21">
      <formula>$I2="Terminated"</formula>
    </cfRule>
  </conditionalFormatting>
  <conditionalFormatting sqref="E2:E166 E190:E929 F216">
    <cfRule type="expression" priority="22" aboveAverage="0" equalAverage="0" bottom="0" percent="0" rank="0" text="" dxfId="21">
      <formula>$I2="Terminated"</formula>
    </cfRule>
  </conditionalFormatting>
  <dataValidations count="10">
    <dataValidation allowBlank="true" errorStyle="stop" operator="between" showDropDown="true" showErrorMessage="false" showInputMessage="false" sqref="A2:A229" type="custom">
      <formula1>OR(NOT(ISERROR(DATEVALUE(A2))), AND(ISNUMBER(A2), LEFT(CELL("format", A2))="D"))</formula1>
      <formula2>0</formula2>
    </dataValidation>
    <dataValidation allowBlank="true" errorStyle="stop" operator="between" showDropDown="false" showErrorMessage="false" showInputMessage="false" sqref="G216:G221 G226:G228 F230:G235" type="list">
      <formula1>"Junny Ko,Thomas Bruchig,Hemi Persaud,Lorenzo Cabason,Emman Lim,Parmeet Singh,Ranjeet Bhangu,Rachel ,Lorraine Girouard"</formula1>
      <formula2>0</formula2>
    </dataValidation>
    <dataValidation allowBlank="true" errorStyle="stop" operator="between" showDropDown="false" showErrorMessage="false" showInputMessage="false" sqref="F2:F229" type="list">
      <formula1>"Junny Ko,Thomas Bruchig,Hemi Persaud,Lorenzo Cabason,Emman Lim,Parmeet Singh,Ranjeet Bhangu,Rachel Qin,Lorraine Girouard"</formula1>
      <formula2>0</formula2>
    </dataValidation>
    <dataValidation allowBlank="true" errorStyle="stop" operator="between" showDropDown="false" showErrorMessage="false" showInputMessage="false" sqref="H2:H229" type="list">
      <formula1>"Occupied,Vacant,Take over"</formula1>
      <formula2>0</formula2>
    </dataValidation>
    <dataValidation allowBlank="true" errorStyle="stop" operator="between" showDropDown="false" showErrorMessage="false" showInputMessage="false" sqref="B230:B235" type="list">
      <formula1>"Property Management,Lease Only"</formula1>
      <formula2>0</formula2>
    </dataValidation>
    <dataValidation allowBlank="true" errorStyle="stop" operator="between" showDropDown="false" showErrorMessage="false" showInputMessage="false" sqref="I2:I229" type="list">
      <formula1>"Active,Terminated"</formula1>
      <formula2>0</formula2>
    </dataValidation>
    <dataValidation allowBlank="true" errorStyle="stop" operator="between" showDropDown="false" showErrorMessage="false" showInputMessage="false" sqref="I230:I235" type="list">
      <formula1>"Active,Terminated"</formula1>
      <formula2>0</formula2>
    </dataValidation>
    <dataValidation allowBlank="true" errorStyle="stop" operator="between" showDropDown="false" showErrorMessage="false" showInputMessage="false" sqref="B2:B229" type="list">
      <formula1>"Property Management,Lease Only"</formula1>
      <formula2>0</formula2>
    </dataValidation>
    <dataValidation allowBlank="true" errorStyle="stop" operator="between" showDropDown="true" showErrorMessage="false" showInputMessage="false" sqref="O2:T229" type="custom">
      <formula1>AND(ISNUMBER(O2),(NOT(OR(NOT(ISERROR(DATEVALUE(O2))), AND(ISNUMBER(O2), LEFT(CELL("format", O2))="D")))))</formula1>
      <formula2>0</formula2>
    </dataValidation>
    <dataValidation allowBlank="true" errorStyle="stop" operator="between" showDropDown="false" showErrorMessage="false" showInputMessage="false" sqref="H230:H235" type="list">
      <formula1>"Occupied,Vacant,Take Over"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  <col collapsed="false" customWidth="true" hidden="false" outlineLevel="0" max="3" min="3" style="0" width="27.5"/>
    <col collapsed="false" customWidth="true" hidden="false" outlineLevel="0" max="4" min="4" style="0" width="40.12"/>
    <col collapsed="false" customWidth="true" hidden="false" outlineLevel="0" max="20" min="20" style="0" width="22"/>
    <col collapsed="false" customWidth="true" hidden="false" outlineLevel="0" max="21" min="21" style="0" width="54.12"/>
  </cols>
  <sheetData>
    <row r="1" customFormat="false" ht="22.5" hidden="false" customHeight="true" outlineLevel="0" collapsed="false">
      <c r="A1" s="196" t="s">
        <v>80</v>
      </c>
      <c r="B1" s="196" t="s">
        <v>81</v>
      </c>
      <c r="C1" s="196" t="s">
        <v>82</v>
      </c>
      <c r="D1" s="196" t="s">
        <v>83</v>
      </c>
      <c r="E1" s="196" t="s">
        <v>22</v>
      </c>
      <c r="F1" s="196" t="s">
        <v>84</v>
      </c>
      <c r="G1" s="196" t="s">
        <v>85</v>
      </c>
      <c r="H1" s="196" t="s">
        <v>86</v>
      </c>
      <c r="I1" s="196" t="s">
        <v>87</v>
      </c>
      <c r="J1" s="196" t="s">
        <v>91</v>
      </c>
      <c r="K1" s="196" t="s">
        <v>92</v>
      </c>
      <c r="L1" s="196" t="s">
        <v>93</v>
      </c>
      <c r="M1" s="196" t="s">
        <v>94</v>
      </c>
      <c r="N1" s="196" t="s">
        <v>95</v>
      </c>
      <c r="O1" s="196" t="s">
        <v>96</v>
      </c>
      <c r="P1" s="196" t="s">
        <v>97</v>
      </c>
      <c r="Q1" s="196" t="s">
        <v>771</v>
      </c>
      <c r="R1" s="196" t="s">
        <v>101</v>
      </c>
      <c r="S1" s="196" t="s">
        <v>102</v>
      </c>
      <c r="T1" s="196" t="s">
        <v>772</v>
      </c>
      <c r="U1" s="197" t="s">
        <v>773</v>
      </c>
      <c r="V1" s="20"/>
      <c r="W1" s="20"/>
      <c r="X1" s="20"/>
      <c r="Y1" s="20"/>
      <c r="Z1" s="20"/>
    </row>
    <row r="2" customFormat="false" ht="15.75" hidden="false" customHeight="false" outlineLevel="0" collapsed="false">
      <c r="A2" s="198" t="n">
        <v>46185</v>
      </c>
      <c r="B2" s="199" t="s">
        <v>774</v>
      </c>
      <c r="C2" s="200" t="s">
        <v>775</v>
      </c>
      <c r="D2" s="201" t="s">
        <v>776</v>
      </c>
      <c r="E2" s="202" t="s">
        <v>26</v>
      </c>
      <c r="F2" s="202" t="s">
        <v>777</v>
      </c>
      <c r="G2" s="202" t="s">
        <v>778</v>
      </c>
      <c r="H2" s="203" t="s">
        <v>107</v>
      </c>
      <c r="I2" s="203" t="s">
        <v>108</v>
      </c>
      <c r="J2" s="204" t="n">
        <v>46249</v>
      </c>
      <c r="K2" s="204" t="n">
        <v>46630</v>
      </c>
      <c r="L2" s="190" t="n">
        <v>599</v>
      </c>
      <c r="M2" s="205" t="n">
        <v>1250</v>
      </c>
      <c r="N2" s="205" t="n">
        <v>0</v>
      </c>
      <c r="O2" s="205" t="n">
        <v>0</v>
      </c>
      <c r="P2" s="205" t="n">
        <v>0</v>
      </c>
      <c r="Q2" s="206" t="n">
        <f aca="false">SUM(L2,(L2*0.05))</f>
        <v>628.95</v>
      </c>
      <c r="R2" s="207" t="n">
        <f aca="false">M2+N2+O2+P2</f>
        <v>1250</v>
      </c>
      <c r="S2" s="207" t="n">
        <f aca="false">SUM(M2:P2)-Q2</f>
        <v>621.05</v>
      </c>
      <c r="T2" s="208"/>
      <c r="U2" s="208"/>
    </row>
    <row r="3" customFormat="false" ht="15.75" hidden="false" customHeight="false" outlineLevel="0" collapsed="false">
      <c r="A3" s="209" t="n">
        <v>46183</v>
      </c>
      <c r="B3" s="210" t="s">
        <v>774</v>
      </c>
      <c r="C3" s="211" t="s">
        <v>779</v>
      </c>
      <c r="D3" s="212" t="s">
        <v>780</v>
      </c>
      <c r="E3" s="213" t="s">
        <v>26</v>
      </c>
      <c r="F3" s="213"/>
      <c r="G3" s="214" t="s">
        <v>781</v>
      </c>
      <c r="H3" s="215" t="s">
        <v>107</v>
      </c>
      <c r="I3" s="216" t="s">
        <v>108</v>
      </c>
      <c r="J3" s="213"/>
      <c r="K3" s="213"/>
      <c r="L3" s="217" t="n">
        <v>799</v>
      </c>
      <c r="M3" s="218" t="n">
        <v>2550</v>
      </c>
      <c r="N3" s="219"/>
      <c r="O3" s="219"/>
      <c r="P3" s="219"/>
      <c r="Q3" s="206" t="n">
        <f aca="false">SUM(L3,(L3*0.05))</f>
        <v>838.95</v>
      </c>
      <c r="R3" s="220" t="n">
        <f aca="false">M3+N3+O3+P3</f>
        <v>2550</v>
      </c>
      <c r="S3" s="220" t="n">
        <f aca="false">SUM(M3:P3)-Q3</f>
        <v>1711.05</v>
      </c>
      <c r="T3" s="221"/>
      <c r="U3" s="221"/>
    </row>
    <row r="4" customFormat="false" ht="15.75" hidden="false" customHeight="false" outlineLevel="0" collapsed="false">
      <c r="A4" s="198" t="n">
        <v>46162</v>
      </c>
      <c r="B4" s="199" t="s">
        <v>774</v>
      </c>
      <c r="C4" s="200" t="s">
        <v>782</v>
      </c>
      <c r="D4" s="201" t="s">
        <v>783</v>
      </c>
      <c r="E4" s="202"/>
      <c r="F4" s="202"/>
      <c r="G4" s="200" t="s">
        <v>31</v>
      </c>
      <c r="H4" s="222" t="s">
        <v>114</v>
      </c>
      <c r="I4" s="223" t="s">
        <v>108</v>
      </c>
      <c r="J4" s="202"/>
      <c r="K4" s="202"/>
      <c r="L4" s="190" t="n">
        <v>1200</v>
      </c>
      <c r="M4" s="205"/>
      <c r="N4" s="205"/>
      <c r="O4" s="205"/>
      <c r="P4" s="205"/>
      <c r="Q4" s="206" t="n">
        <f aca="false">SUM(L4,(L4*0.05))</f>
        <v>1260</v>
      </c>
      <c r="R4" s="207" t="n">
        <f aca="false">M4+N4+O4+P4</f>
        <v>0</v>
      </c>
      <c r="S4" s="207" t="n">
        <f aca="false">SUM(M4:P4)-Q4</f>
        <v>-1260</v>
      </c>
      <c r="T4" s="208"/>
      <c r="U4" s="208"/>
    </row>
    <row r="5" customFormat="false" ht="15.75" hidden="false" customHeight="false" outlineLevel="0" collapsed="false">
      <c r="A5" s="209" t="n">
        <v>46140</v>
      </c>
      <c r="B5" s="210" t="s">
        <v>774</v>
      </c>
      <c r="C5" s="211" t="s">
        <v>784</v>
      </c>
      <c r="D5" s="211" t="s">
        <v>785</v>
      </c>
      <c r="E5" s="213"/>
      <c r="F5" s="213"/>
      <c r="G5" s="214" t="s">
        <v>25</v>
      </c>
      <c r="H5" s="213"/>
      <c r="I5" s="213"/>
      <c r="J5" s="213"/>
      <c r="K5" s="213"/>
      <c r="L5" s="217" t="n">
        <v>699</v>
      </c>
      <c r="M5" s="219"/>
      <c r="N5" s="219"/>
      <c r="O5" s="219"/>
      <c r="P5" s="219"/>
      <c r="Q5" s="206" t="n">
        <f aca="false">SUM(L5,(L5*0.05))</f>
        <v>733.95</v>
      </c>
      <c r="R5" s="220" t="n">
        <f aca="false">M5+N5+O5+P5</f>
        <v>0</v>
      </c>
      <c r="S5" s="220" t="n">
        <f aca="false">SUM(M5:P5)-Q5</f>
        <v>-733.95</v>
      </c>
      <c r="T5" s="221"/>
      <c r="U5" s="221"/>
    </row>
    <row r="6" customFormat="false" ht="15.75" hidden="false" customHeight="false" outlineLevel="0" collapsed="false">
      <c r="A6" s="198" t="n">
        <v>46128</v>
      </c>
      <c r="B6" s="199" t="s">
        <v>774</v>
      </c>
      <c r="C6" s="200" t="s">
        <v>786</v>
      </c>
      <c r="D6" s="200" t="s">
        <v>787</v>
      </c>
      <c r="E6" s="202" t="s">
        <v>26</v>
      </c>
      <c r="F6" s="224" t="n">
        <v>102</v>
      </c>
      <c r="G6" s="202" t="s">
        <v>26</v>
      </c>
      <c r="H6" s="202"/>
      <c r="I6" s="202"/>
      <c r="J6" s="202"/>
      <c r="K6" s="202"/>
      <c r="L6" s="190" t="n">
        <v>799</v>
      </c>
      <c r="M6" s="205"/>
      <c r="N6" s="205"/>
      <c r="O6" s="205"/>
      <c r="P6" s="205"/>
      <c r="Q6" s="206" t="n">
        <f aca="false">SUM(L6,(L6*0.05))</f>
        <v>838.95</v>
      </c>
      <c r="R6" s="207" t="n">
        <f aca="false">M6+N6+O6+P6</f>
        <v>0</v>
      </c>
      <c r="S6" s="207" t="n">
        <f aca="false">SUM(M6:P6)-Q6</f>
        <v>-838.95</v>
      </c>
      <c r="T6" s="208"/>
      <c r="U6" s="208"/>
    </row>
    <row r="7" customFormat="false" ht="15.75" hidden="false" customHeight="false" outlineLevel="0" collapsed="false">
      <c r="A7" s="225" t="n">
        <v>46086</v>
      </c>
      <c r="B7" s="210" t="s">
        <v>774</v>
      </c>
      <c r="C7" s="226" t="s">
        <v>788</v>
      </c>
      <c r="D7" s="226" t="s">
        <v>789</v>
      </c>
      <c r="E7" s="213"/>
      <c r="F7" s="227"/>
      <c r="G7" s="226" t="s">
        <v>790</v>
      </c>
      <c r="H7" s="213"/>
      <c r="I7" s="228" t="s">
        <v>341</v>
      </c>
      <c r="J7" s="227"/>
      <c r="K7" s="227"/>
      <c r="L7" s="229" t="n">
        <v>599</v>
      </c>
      <c r="M7" s="230"/>
      <c r="N7" s="230"/>
      <c r="O7" s="230"/>
      <c r="P7" s="230"/>
      <c r="Q7" s="206" t="n">
        <f aca="false">SUM(L7,(L7*0.05))</f>
        <v>628.95</v>
      </c>
      <c r="R7" s="231" t="n">
        <f aca="false">M7+N7+O7+P7</f>
        <v>0</v>
      </c>
      <c r="S7" s="231" t="n">
        <f aca="false">SUM(M7:P7)-Q7</f>
        <v>-628.95</v>
      </c>
      <c r="T7" s="232"/>
      <c r="U7" s="232"/>
    </row>
    <row r="8" customFormat="false" ht="15.75" hidden="false" customHeight="false" outlineLevel="0" collapsed="false">
      <c r="A8" s="233" t="n">
        <v>46072</v>
      </c>
      <c r="B8" s="199" t="s">
        <v>774</v>
      </c>
      <c r="C8" s="200" t="s">
        <v>788</v>
      </c>
      <c r="D8" s="200" t="s">
        <v>791</v>
      </c>
      <c r="E8" s="202"/>
      <c r="F8" s="202"/>
      <c r="G8" s="200" t="s">
        <v>790</v>
      </c>
      <c r="H8" s="202" t="s">
        <v>114</v>
      </c>
      <c r="I8" s="202" t="s">
        <v>108</v>
      </c>
      <c r="J8" s="202"/>
      <c r="K8" s="202"/>
      <c r="L8" s="234" t="n">
        <v>999</v>
      </c>
      <c r="M8" s="205"/>
      <c r="N8" s="205"/>
      <c r="O8" s="205"/>
      <c r="P8" s="205"/>
      <c r="Q8" s="206" t="n">
        <f aca="false">SUM(L8,(L8*0.05))</f>
        <v>1048.95</v>
      </c>
      <c r="R8" s="207" t="n">
        <f aca="false">M8+N8+O8+P8</f>
        <v>0</v>
      </c>
      <c r="S8" s="207" t="n">
        <f aca="false">SUM(M8:P8)-Q8</f>
        <v>-1048.95</v>
      </c>
      <c r="T8" s="208"/>
      <c r="U8" s="208"/>
    </row>
    <row r="9" customFormat="false" ht="72.35" hidden="false" customHeight="false" outlineLevel="0" collapsed="false">
      <c r="A9" s="209" t="s">
        <v>792</v>
      </c>
      <c r="B9" s="210" t="s">
        <v>774</v>
      </c>
      <c r="C9" s="235" t="s">
        <v>793</v>
      </c>
      <c r="D9" s="236" t="s">
        <v>794</v>
      </c>
      <c r="E9" s="228" t="s">
        <v>26</v>
      </c>
      <c r="F9" s="211" t="s">
        <v>320</v>
      </c>
      <c r="G9" s="213" t="s">
        <v>778</v>
      </c>
      <c r="H9" s="237" t="s">
        <v>114</v>
      </c>
      <c r="I9" s="238" t="s">
        <v>108</v>
      </c>
      <c r="J9" s="213"/>
      <c r="K9" s="213"/>
      <c r="L9" s="239" t="n">
        <v>799</v>
      </c>
      <c r="M9" s="218" t="n">
        <v>1680</v>
      </c>
      <c r="N9" s="218" t="n">
        <v>100</v>
      </c>
      <c r="O9" s="219"/>
      <c r="P9" s="219"/>
      <c r="Q9" s="206" t="n">
        <f aca="false">SUM(L9,(L9*0.05))</f>
        <v>838.95</v>
      </c>
      <c r="R9" s="220" t="n">
        <f aca="false">M9+N9+O9+P9</f>
        <v>1780</v>
      </c>
      <c r="S9" s="220" t="n">
        <f aca="false">SUM(M9:P9)-Q9</f>
        <v>941.05</v>
      </c>
      <c r="T9" s="221" t="s">
        <v>795</v>
      </c>
      <c r="U9" s="221"/>
    </row>
    <row r="10" customFormat="false" ht="15.75" hidden="false" customHeight="false" outlineLevel="0" collapsed="false">
      <c r="A10" s="198" t="n">
        <v>46071</v>
      </c>
      <c r="B10" s="199" t="s">
        <v>774</v>
      </c>
      <c r="C10" s="240" t="s">
        <v>796</v>
      </c>
      <c r="D10" s="241" t="s">
        <v>797</v>
      </c>
      <c r="E10" s="202" t="s">
        <v>25</v>
      </c>
      <c r="F10" s="202"/>
      <c r="G10" s="200" t="s">
        <v>25</v>
      </c>
      <c r="H10" s="202"/>
      <c r="I10" s="202"/>
      <c r="J10" s="202"/>
      <c r="K10" s="202"/>
      <c r="L10" s="239" t="n">
        <v>500</v>
      </c>
      <c r="M10" s="205"/>
      <c r="N10" s="205"/>
      <c r="O10" s="205"/>
      <c r="P10" s="205"/>
      <c r="Q10" s="206" t="n">
        <f aca="false">SUM(L10,(L10*0.05))</f>
        <v>525</v>
      </c>
      <c r="R10" s="207" t="n">
        <f aca="false">M10+N10+O10+P10</f>
        <v>0</v>
      </c>
      <c r="S10" s="207" t="n">
        <f aca="false">SUM(M10:P10)-Q10</f>
        <v>-525</v>
      </c>
      <c r="T10" s="208"/>
      <c r="U10" s="208"/>
    </row>
    <row r="11" customFormat="false" ht="15.75" hidden="false" customHeight="false" outlineLevel="0" collapsed="false">
      <c r="A11" s="209" t="n">
        <v>46046</v>
      </c>
      <c r="B11" s="210" t="s">
        <v>774</v>
      </c>
      <c r="C11" s="211" t="s">
        <v>788</v>
      </c>
      <c r="D11" s="236" t="s">
        <v>798</v>
      </c>
      <c r="E11" s="213"/>
      <c r="F11" s="242" t="n">
        <v>2</v>
      </c>
      <c r="G11" s="214" t="s">
        <v>790</v>
      </c>
      <c r="H11" s="213"/>
      <c r="I11" s="213"/>
      <c r="J11" s="213"/>
      <c r="K11" s="213"/>
      <c r="L11" s="218" t="n">
        <v>599</v>
      </c>
      <c r="M11" s="219"/>
      <c r="N11" s="219"/>
      <c r="O11" s="219"/>
      <c r="P11" s="219"/>
      <c r="Q11" s="206" t="n">
        <f aca="false">SUM(L11,(L11*0.05))</f>
        <v>628.95</v>
      </c>
      <c r="R11" s="220" t="n">
        <f aca="false">M11+N11+O11+P11</f>
        <v>0</v>
      </c>
      <c r="S11" s="220" t="n">
        <f aca="false">SUM(M11:P11)-Q11</f>
        <v>-628.95</v>
      </c>
      <c r="T11" s="221"/>
      <c r="U11" s="221"/>
    </row>
    <row r="12" customFormat="false" ht="15.75" hidden="false" customHeight="false" outlineLevel="0" collapsed="false">
      <c r="A12" s="198" t="n">
        <v>46035</v>
      </c>
      <c r="B12" s="199" t="s">
        <v>774</v>
      </c>
      <c r="C12" s="240" t="s">
        <v>799</v>
      </c>
      <c r="D12" s="241" t="s">
        <v>800</v>
      </c>
      <c r="E12" s="202"/>
      <c r="F12" s="202"/>
      <c r="G12" s="200" t="s">
        <v>31</v>
      </c>
      <c r="H12" s="202"/>
      <c r="I12" s="202"/>
      <c r="J12" s="202"/>
      <c r="K12" s="202"/>
      <c r="L12" s="239" t="n">
        <v>400</v>
      </c>
      <c r="M12" s="205"/>
      <c r="N12" s="205"/>
      <c r="O12" s="205"/>
      <c r="P12" s="205"/>
      <c r="Q12" s="206" t="n">
        <f aca="false">SUM(L12,(L12*0.05))</f>
        <v>420</v>
      </c>
      <c r="R12" s="207" t="n">
        <f aca="false">M12+N12+O12+P12</f>
        <v>0</v>
      </c>
      <c r="S12" s="207" t="n">
        <f aca="false">SUM(M12:P12)-Q12</f>
        <v>-420</v>
      </c>
      <c r="T12" s="208"/>
      <c r="U12" s="208"/>
    </row>
    <row r="13" customFormat="false" ht="15.75" hidden="false" customHeight="false" outlineLevel="0" collapsed="false">
      <c r="A13" s="209" t="n">
        <v>46031</v>
      </c>
      <c r="B13" s="210" t="s">
        <v>774</v>
      </c>
      <c r="C13" s="235" t="s">
        <v>801</v>
      </c>
      <c r="D13" s="236" t="s">
        <v>802</v>
      </c>
      <c r="E13" s="213" t="s">
        <v>26</v>
      </c>
      <c r="F13" s="213"/>
      <c r="G13" s="213" t="s">
        <v>778</v>
      </c>
      <c r="H13" s="213"/>
      <c r="I13" s="213" t="s">
        <v>341</v>
      </c>
      <c r="J13" s="213"/>
      <c r="K13" s="213"/>
      <c r="L13" s="218" t="n">
        <v>799</v>
      </c>
      <c r="M13" s="219"/>
      <c r="N13" s="219"/>
      <c r="O13" s="219"/>
      <c r="P13" s="219"/>
      <c r="Q13" s="206" t="n">
        <f aca="false">SUM(L13,(L13*0.05))</f>
        <v>838.95</v>
      </c>
      <c r="R13" s="220" t="n">
        <f aca="false">M13+N13+O13+P13</f>
        <v>0</v>
      </c>
      <c r="S13" s="220" t="n">
        <f aca="false">SUM(M13:P13)-Q13</f>
        <v>-838.95</v>
      </c>
      <c r="T13" s="221"/>
      <c r="U13" s="221"/>
    </row>
    <row r="14" customFormat="false" ht="15.75" hidden="false" customHeight="false" outlineLevel="0" collapsed="false">
      <c r="A14" s="198" t="n">
        <v>46003</v>
      </c>
      <c r="B14" s="199" t="s">
        <v>774</v>
      </c>
      <c r="C14" s="240" t="s">
        <v>803</v>
      </c>
      <c r="D14" s="241" t="s">
        <v>804</v>
      </c>
      <c r="E14" s="202" t="s">
        <v>26</v>
      </c>
      <c r="F14" s="202"/>
      <c r="G14" s="202" t="s">
        <v>26</v>
      </c>
      <c r="H14" s="202"/>
      <c r="I14" s="202"/>
      <c r="J14" s="202"/>
      <c r="K14" s="202"/>
      <c r="L14" s="239" t="n">
        <v>699</v>
      </c>
      <c r="M14" s="205"/>
      <c r="N14" s="205"/>
      <c r="O14" s="205"/>
      <c r="P14" s="205"/>
      <c r="Q14" s="206" t="n">
        <f aca="false">SUM(L14,(L14*0.05))</f>
        <v>733.95</v>
      </c>
      <c r="R14" s="207" t="n">
        <f aca="false">M14+N14+O14+P14</f>
        <v>0</v>
      </c>
      <c r="S14" s="207" t="n">
        <f aca="false">SUM(M14:P14)-Q14</f>
        <v>-733.95</v>
      </c>
      <c r="T14" s="208"/>
      <c r="U14" s="208"/>
    </row>
    <row r="15" customFormat="false" ht="15.75" hidden="false" customHeight="false" outlineLevel="0" collapsed="false">
      <c r="A15" s="209" t="n">
        <v>45998</v>
      </c>
      <c r="B15" s="210" t="s">
        <v>774</v>
      </c>
      <c r="C15" s="235" t="s">
        <v>805</v>
      </c>
      <c r="D15" s="236" t="s">
        <v>806</v>
      </c>
      <c r="E15" s="213"/>
      <c r="F15" s="213"/>
      <c r="G15" s="213" t="s">
        <v>31</v>
      </c>
      <c r="H15" s="213"/>
      <c r="I15" s="213"/>
      <c r="J15" s="213"/>
      <c r="K15" s="213"/>
      <c r="L15" s="218" t="n">
        <v>799</v>
      </c>
      <c r="M15" s="219"/>
      <c r="N15" s="219"/>
      <c r="O15" s="219"/>
      <c r="P15" s="219"/>
      <c r="Q15" s="206" t="n">
        <f aca="false">SUM(L15,(L15*0.05))</f>
        <v>838.95</v>
      </c>
      <c r="R15" s="220" t="n">
        <f aca="false">M15+N15+O15+P15</f>
        <v>0</v>
      </c>
      <c r="S15" s="220" t="n">
        <f aca="false">SUM(M15:P15)-Q15</f>
        <v>-838.95</v>
      </c>
      <c r="T15" s="221"/>
      <c r="U15" s="221"/>
    </row>
    <row r="16" customFormat="false" ht="15.75" hidden="false" customHeight="false" outlineLevel="0" collapsed="false">
      <c r="A16" s="198" t="n">
        <v>45995</v>
      </c>
      <c r="B16" s="199" t="s">
        <v>774</v>
      </c>
      <c r="C16" s="240" t="s">
        <v>807</v>
      </c>
      <c r="D16" s="241" t="s">
        <v>808</v>
      </c>
      <c r="E16" s="202" t="s">
        <v>26</v>
      </c>
      <c r="F16" s="202"/>
      <c r="G16" s="200" t="s">
        <v>778</v>
      </c>
      <c r="H16" s="202"/>
      <c r="I16" s="202" t="s">
        <v>341</v>
      </c>
      <c r="J16" s="202"/>
      <c r="K16" s="202"/>
      <c r="L16" s="239" t="n">
        <v>599</v>
      </c>
      <c r="M16" s="205"/>
      <c r="N16" s="205"/>
      <c r="O16" s="205"/>
      <c r="P16" s="205"/>
      <c r="Q16" s="206" t="n">
        <f aca="false">SUM(L16,(L16*0.05))</f>
        <v>628.95</v>
      </c>
      <c r="R16" s="207" t="n">
        <f aca="false">M16+N16+O16+P16</f>
        <v>0</v>
      </c>
      <c r="S16" s="207" t="n">
        <f aca="false">SUM(M16:P16)-Q16</f>
        <v>-628.95</v>
      </c>
      <c r="T16" s="208"/>
      <c r="U16" s="208"/>
    </row>
    <row r="17" customFormat="false" ht="15.75" hidden="false" customHeight="false" outlineLevel="0" collapsed="false">
      <c r="A17" s="209" t="n">
        <v>45994</v>
      </c>
      <c r="B17" s="210" t="s">
        <v>774</v>
      </c>
      <c r="C17" s="235" t="s">
        <v>809</v>
      </c>
      <c r="D17" s="236" t="s">
        <v>810</v>
      </c>
      <c r="E17" s="213"/>
      <c r="F17" s="213"/>
      <c r="G17" s="214" t="s">
        <v>31</v>
      </c>
      <c r="H17" s="213"/>
      <c r="I17" s="213"/>
      <c r="J17" s="213"/>
      <c r="K17" s="213"/>
      <c r="L17" s="218" t="n">
        <v>500</v>
      </c>
      <c r="M17" s="219"/>
      <c r="N17" s="219"/>
      <c r="O17" s="219"/>
      <c r="P17" s="219"/>
      <c r="Q17" s="206" t="n">
        <f aca="false">SUM(L17,(L17*0.05))</f>
        <v>525</v>
      </c>
      <c r="R17" s="220" t="n">
        <f aca="false">M17+N17+O17+P17</f>
        <v>0</v>
      </c>
      <c r="S17" s="220" t="n">
        <f aca="false">SUM(M17:P17)-Q17</f>
        <v>-525</v>
      </c>
      <c r="T17" s="221"/>
      <c r="U17" s="221"/>
    </row>
    <row r="18" customFormat="false" ht="15.75" hidden="false" customHeight="false" outlineLevel="0" collapsed="false">
      <c r="C18" s="243" t="s">
        <v>811</v>
      </c>
      <c r="D18" s="243" t="s">
        <v>812</v>
      </c>
      <c r="E18" s="213" t="s">
        <v>26</v>
      </c>
      <c r="H18" s="213" t="s">
        <v>107</v>
      </c>
      <c r="I18" s="213" t="s">
        <v>108</v>
      </c>
      <c r="L18" s="243" t="n">
        <v>799</v>
      </c>
      <c r="T18" s="244"/>
      <c r="U18" s="244"/>
    </row>
    <row r="19" customFormat="false" ht="15.75" hidden="false" customHeight="false" outlineLevel="0" collapsed="false">
      <c r="T19" s="244"/>
      <c r="U19" s="244"/>
    </row>
    <row r="20" customFormat="false" ht="15.75" hidden="false" customHeight="false" outlineLevel="0" collapsed="false">
      <c r="T20" s="244"/>
      <c r="U20" s="244"/>
    </row>
    <row r="21" customFormat="false" ht="15.75" hidden="false" customHeight="false" outlineLevel="0" collapsed="false">
      <c r="T21" s="244"/>
      <c r="U21" s="244"/>
    </row>
    <row r="22" customFormat="false" ht="15.75" hidden="false" customHeight="false" outlineLevel="0" collapsed="false">
      <c r="T22" s="244"/>
      <c r="U22" s="244"/>
    </row>
    <row r="23" customFormat="false" ht="15.75" hidden="false" customHeight="false" outlineLevel="0" collapsed="false">
      <c r="T23" s="244"/>
      <c r="U23" s="244"/>
    </row>
    <row r="24" customFormat="false" ht="15.75" hidden="false" customHeight="false" outlineLevel="0" collapsed="false">
      <c r="T24" s="244"/>
      <c r="U24" s="244"/>
    </row>
    <row r="25" customFormat="false" ht="15.75" hidden="false" customHeight="false" outlineLevel="0" collapsed="false">
      <c r="T25" s="244"/>
      <c r="U25" s="244"/>
    </row>
    <row r="26" customFormat="false" ht="15.75" hidden="false" customHeight="false" outlineLevel="0" collapsed="false">
      <c r="T26" s="244"/>
      <c r="U26" s="244"/>
    </row>
    <row r="27" customFormat="false" ht="15.75" hidden="false" customHeight="false" outlineLevel="0" collapsed="false">
      <c r="T27" s="244"/>
      <c r="U27" s="244"/>
    </row>
    <row r="28" customFormat="false" ht="15.75" hidden="false" customHeight="false" outlineLevel="0" collapsed="false">
      <c r="T28" s="244"/>
      <c r="U28" s="244"/>
    </row>
    <row r="29" customFormat="false" ht="15.75" hidden="false" customHeight="false" outlineLevel="0" collapsed="false">
      <c r="T29" s="244"/>
      <c r="U29" s="244"/>
    </row>
    <row r="30" customFormat="false" ht="15.75" hidden="false" customHeight="false" outlineLevel="0" collapsed="false">
      <c r="T30" s="244"/>
      <c r="U30" s="244"/>
    </row>
    <row r="31" customFormat="false" ht="15.75" hidden="false" customHeight="false" outlineLevel="0" collapsed="false">
      <c r="T31" s="244"/>
      <c r="U31" s="244"/>
    </row>
    <row r="32" customFormat="false" ht="15.75" hidden="false" customHeight="false" outlineLevel="0" collapsed="false">
      <c r="T32" s="244"/>
      <c r="U32" s="244"/>
    </row>
    <row r="33" customFormat="false" ht="15.75" hidden="false" customHeight="false" outlineLevel="0" collapsed="false">
      <c r="T33" s="244"/>
      <c r="U33" s="244"/>
    </row>
    <row r="34" customFormat="false" ht="15.75" hidden="false" customHeight="false" outlineLevel="0" collapsed="false">
      <c r="T34" s="244"/>
      <c r="U34" s="244"/>
    </row>
    <row r="35" customFormat="false" ht="15.75" hidden="false" customHeight="false" outlineLevel="0" collapsed="false">
      <c r="T35" s="244"/>
      <c r="U35" s="244"/>
    </row>
    <row r="36" customFormat="false" ht="15.75" hidden="false" customHeight="false" outlineLevel="0" collapsed="false">
      <c r="T36" s="244"/>
      <c r="U36" s="244"/>
    </row>
    <row r="37" customFormat="false" ht="15.75" hidden="false" customHeight="false" outlineLevel="0" collapsed="false">
      <c r="T37" s="244"/>
      <c r="U37" s="244"/>
    </row>
    <row r="38" customFormat="false" ht="15.75" hidden="false" customHeight="false" outlineLevel="0" collapsed="false">
      <c r="T38" s="244"/>
      <c r="U38" s="244"/>
    </row>
    <row r="39" customFormat="false" ht="15.75" hidden="false" customHeight="false" outlineLevel="0" collapsed="false">
      <c r="T39" s="244"/>
      <c r="U39" s="244"/>
    </row>
    <row r="40" customFormat="false" ht="15.75" hidden="false" customHeight="false" outlineLevel="0" collapsed="false">
      <c r="T40" s="244"/>
      <c r="U40" s="244"/>
    </row>
    <row r="41" customFormat="false" ht="15.75" hidden="false" customHeight="false" outlineLevel="0" collapsed="false">
      <c r="T41" s="244"/>
      <c r="U41" s="244"/>
    </row>
    <row r="42" customFormat="false" ht="15.75" hidden="false" customHeight="false" outlineLevel="0" collapsed="false">
      <c r="T42" s="244"/>
      <c r="U42" s="244"/>
    </row>
    <row r="43" customFormat="false" ht="15.75" hidden="false" customHeight="false" outlineLevel="0" collapsed="false">
      <c r="T43" s="244"/>
      <c r="U43" s="244"/>
    </row>
    <row r="44" customFormat="false" ht="15.75" hidden="false" customHeight="false" outlineLevel="0" collapsed="false">
      <c r="T44" s="244"/>
      <c r="U44" s="244"/>
    </row>
    <row r="45" customFormat="false" ht="15.75" hidden="false" customHeight="false" outlineLevel="0" collapsed="false">
      <c r="T45" s="244"/>
      <c r="U45" s="244"/>
    </row>
    <row r="46" customFormat="false" ht="15.75" hidden="false" customHeight="false" outlineLevel="0" collapsed="false">
      <c r="T46" s="244"/>
      <c r="U46" s="244"/>
    </row>
    <row r="47" customFormat="false" ht="15.75" hidden="false" customHeight="false" outlineLevel="0" collapsed="false">
      <c r="T47" s="244"/>
      <c r="U47" s="244"/>
    </row>
    <row r="48" customFormat="false" ht="15.75" hidden="false" customHeight="false" outlineLevel="0" collapsed="false">
      <c r="T48" s="244"/>
      <c r="U48" s="244"/>
    </row>
    <row r="49" customFormat="false" ht="15.75" hidden="false" customHeight="false" outlineLevel="0" collapsed="false">
      <c r="T49" s="244"/>
      <c r="U49" s="244"/>
    </row>
    <row r="50" customFormat="false" ht="15.75" hidden="false" customHeight="false" outlineLevel="0" collapsed="false">
      <c r="T50" s="244"/>
      <c r="U50" s="244"/>
    </row>
    <row r="51" customFormat="false" ht="15.75" hidden="false" customHeight="false" outlineLevel="0" collapsed="false">
      <c r="T51" s="244"/>
      <c r="U51" s="244"/>
    </row>
    <row r="52" customFormat="false" ht="15.75" hidden="false" customHeight="false" outlineLevel="0" collapsed="false">
      <c r="T52" s="244"/>
      <c r="U52" s="244"/>
    </row>
    <row r="53" customFormat="false" ht="15.75" hidden="false" customHeight="false" outlineLevel="0" collapsed="false">
      <c r="T53" s="244"/>
      <c r="U53" s="244"/>
    </row>
    <row r="54" customFormat="false" ht="15.75" hidden="false" customHeight="false" outlineLevel="0" collapsed="false">
      <c r="T54" s="244"/>
      <c r="U54" s="244"/>
    </row>
    <row r="55" customFormat="false" ht="15.75" hidden="false" customHeight="false" outlineLevel="0" collapsed="false">
      <c r="T55" s="244"/>
      <c r="U55" s="244"/>
    </row>
    <row r="56" customFormat="false" ht="15.75" hidden="false" customHeight="false" outlineLevel="0" collapsed="false">
      <c r="T56" s="244"/>
      <c r="U56" s="244"/>
    </row>
    <row r="57" customFormat="false" ht="15.75" hidden="false" customHeight="false" outlineLevel="0" collapsed="false">
      <c r="T57" s="244"/>
      <c r="U57" s="244"/>
    </row>
    <row r="58" customFormat="false" ht="15.75" hidden="false" customHeight="false" outlineLevel="0" collapsed="false">
      <c r="T58" s="244"/>
      <c r="U58" s="244"/>
    </row>
    <row r="59" customFormat="false" ht="15.75" hidden="false" customHeight="false" outlineLevel="0" collapsed="false">
      <c r="T59" s="244"/>
      <c r="U59" s="244"/>
    </row>
    <row r="60" customFormat="false" ht="15.75" hidden="false" customHeight="false" outlineLevel="0" collapsed="false">
      <c r="T60" s="244"/>
      <c r="U60" s="244"/>
    </row>
    <row r="61" customFormat="false" ht="15.75" hidden="false" customHeight="false" outlineLevel="0" collapsed="false">
      <c r="T61" s="244"/>
      <c r="U61" s="244"/>
    </row>
    <row r="62" customFormat="false" ht="15.75" hidden="false" customHeight="false" outlineLevel="0" collapsed="false">
      <c r="T62" s="244"/>
      <c r="U62" s="244"/>
    </row>
    <row r="63" customFormat="false" ht="15.75" hidden="false" customHeight="false" outlineLevel="0" collapsed="false">
      <c r="T63" s="244"/>
      <c r="U63" s="244"/>
    </row>
    <row r="64" customFormat="false" ht="15.75" hidden="false" customHeight="false" outlineLevel="0" collapsed="false">
      <c r="T64" s="244"/>
      <c r="U64" s="244"/>
    </row>
    <row r="65" customFormat="false" ht="15.75" hidden="false" customHeight="false" outlineLevel="0" collapsed="false">
      <c r="T65" s="244"/>
      <c r="U65" s="244"/>
    </row>
    <row r="66" customFormat="false" ht="15.75" hidden="false" customHeight="false" outlineLevel="0" collapsed="false">
      <c r="T66" s="244"/>
      <c r="U66" s="244"/>
    </row>
    <row r="67" customFormat="false" ht="15.75" hidden="false" customHeight="false" outlineLevel="0" collapsed="false">
      <c r="T67" s="244"/>
      <c r="U67" s="244"/>
    </row>
    <row r="68" customFormat="false" ht="15.75" hidden="false" customHeight="false" outlineLevel="0" collapsed="false">
      <c r="T68" s="244"/>
      <c r="U68" s="244"/>
    </row>
    <row r="69" customFormat="false" ht="15.75" hidden="false" customHeight="false" outlineLevel="0" collapsed="false">
      <c r="T69" s="244"/>
      <c r="U69" s="244"/>
    </row>
    <row r="70" customFormat="false" ht="15.75" hidden="false" customHeight="false" outlineLevel="0" collapsed="false">
      <c r="T70" s="244"/>
      <c r="U70" s="244"/>
    </row>
    <row r="71" customFormat="false" ht="15.75" hidden="false" customHeight="false" outlineLevel="0" collapsed="false">
      <c r="T71" s="244"/>
      <c r="U71" s="244"/>
    </row>
    <row r="72" customFormat="false" ht="15.75" hidden="false" customHeight="false" outlineLevel="0" collapsed="false">
      <c r="T72" s="244"/>
      <c r="U72" s="244"/>
    </row>
    <row r="73" customFormat="false" ht="15.75" hidden="false" customHeight="false" outlineLevel="0" collapsed="false">
      <c r="T73" s="244"/>
      <c r="U73" s="244"/>
    </row>
    <row r="74" customFormat="false" ht="15.75" hidden="false" customHeight="false" outlineLevel="0" collapsed="false">
      <c r="T74" s="244"/>
      <c r="U74" s="244"/>
    </row>
    <row r="75" customFormat="false" ht="15.75" hidden="false" customHeight="false" outlineLevel="0" collapsed="false">
      <c r="T75" s="244"/>
      <c r="U75" s="244"/>
    </row>
    <row r="76" customFormat="false" ht="15.75" hidden="false" customHeight="false" outlineLevel="0" collapsed="false">
      <c r="T76" s="244"/>
      <c r="U76" s="244"/>
    </row>
    <row r="77" customFormat="false" ht="15.75" hidden="false" customHeight="false" outlineLevel="0" collapsed="false">
      <c r="T77" s="244"/>
      <c r="U77" s="244"/>
    </row>
    <row r="78" customFormat="false" ht="15.75" hidden="false" customHeight="false" outlineLevel="0" collapsed="false">
      <c r="T78" s="244"/>
      <c r="U78" s="244"/>
    </row>
    <row r="79" customFormat="false" ht="15.75" hidden="false" customHeight="false" outlineLevel="0" collapsed="false">
      <c r="T79" s="244"/>
      <c r="U79" s="244"/>
    </row>
    <row r="80" customFormat="false" ht="15.75" hidden="false" customHeight="false" outlineLevel="0" collapsed="false">
      <c r="T80" s="244"/>
      <c r="U80" s="244"/>
    </row>
    <row r="81" customFormat="false" ht="15.75" hidden="false" customHeight="false" outlineLevel="0" collapsed="false">
      <c r="T81" s="244"/>
      <c r="U81" s="244"/>
    </row>
    <row r="82" customFormat="false" ht="15.75" hidden="false" customHeight="false" outlineLevel="0" collapsed="false">
      <c r="T82" s="244"/>
      <c r="U82" s="244"/>
    </row>
    <row r="83" customFormat="false" ht="15.75" hidden="false" customHeight="false" outlineLevel="0" collapsed="false">
      <c r="T83" s="244"/>
      <c r="U83" s="244"/>
    </row>
    <row r="84" customFormat="false" ht="15.75" hidden="false" customHeight="false" outlineLevel="0" collapsed="false">
      <c r="T84" s="244"/>
      <c r="U84" s="244"/>
    </row>
    <row r="85" customFormat="false" ht="15.75" hidden="false" customHeight="false" outlineLevel="0" collapsed="false">
      <c r="T85" s="244"/>
      <c r="U85" s="244"/>
    </row>
    <row r="86" customFormat="false" ht="15.75" hidden="false" customHeight="false" outlineLevel="0" collapsed="false">
      <c r="T86" s="244"/>
      <c r="U86" s="244"/>
    </row>
    <row r="87" customFormat="false" ht="15.75" hidden="false" customHeight="false" outlineLevel="0" collapsed="false">
      <c r="T87" s="244"/>
      <c r="U87" s="244"/>
    </row>
    <row r="88" customFormat="false" ht="15.75" hidden="false" customHeight="false" outlineLevel="0" collapsed="false">
      <c r="T88" s="244"/>
      <c r="U88" s="244"/>
    </row>
    <row r="89" customFormat="false" ht="15.75" hidden="false" customHeight="false" outlineLevel="0" collapsed="false">
      <c r="T89" s="244"/>
      <c r="U89" s="244"/>
    </row>
    <row r="90" customFormat="false" ht="15.75" hidden="false" customHeight="false" outlineLevel="0" collapsed="false">
      <c r="T90" s="244"/>
      <c r="U90" s="244"/>
    </row>
    <row r="91" customFormat="false" ht="15.75" hidden="false" customHeight="false" outlineLevel="0" collapsed="false">
      <c r="T91" s="244"/>
      <c r="U91" s="244"/>
    </row>
    <row r="92" customFormat="false" ht="15.75" hidden="false" customHeight="false" outlineLevel="0" collapsed="false">
      <c r="T92" s="244"/>
      <c r="U92" s="244"/>
    </row>
    <row r="93" customFormat="false" ht="15.75" hidden="false" customHeight="false" outlineLevel="0" collapsed="false">
      <c r="T93" s="244"/>
      <c r="U93" s="244"/>
    </row>
    <row r="94" customFormat="false" ht="15.75" hidden="false" customHeight="false" outlineLevel="0" collapsed="false">
      <c r="T94" s="244"/>
      <c r="U94" s="244"/>
    </row>
    <row r="95" customFormat="false" ht="15.75" hidden="false" customHeight="false" outlineLevel="0" collapsed="false">
      <c r="T95" s="244"/>
      <c r="U95" s="244"/>
    </row>
    <row r="96" customFormat="false" ht="15.75" hidden="false" customHeight="false" outlineLevel="0" collapsed="false">
      <c r="T96" s="244"/>
      <c r="U96" s="244"/>
    </row>
    <row r="97" customFormat="false" ht="15.75" hidden="false" customHeight="false" outlineLevel="0" collapsed="false">
      <c r="T97" s="244"/>
      <c r="U97" s="244"/>
    </row>
    <row r="98" customFormat="false" ht="15.75" hidden="false" customHeight="false" outlineLevel="0" collapsed="false">
      <c r="T98" s="244"/>
      <c r="U98" s="244"/>
    </row>
    <row r="99" customFormat="false" ht="15.75" hidden="false" customHeight="false" outlineLevel="0" collapsed="false">
      <c r="T99" s="244"/>
      <c r="U99" s="244"/>
    </row>
    <row r="100" customFormat="false" ht="15.75" hidden="false" customHeight="false" outlineLevel="0" collapsed="false">
      <c r="T100" s="244"/>
      <c r="U100" s="244"/>
    </row>
    <row r="101" customFormat="false" ht="15.75" hidden="false" customHeight="false" outlineLevel="0" collapsed="false">
      <c r="T101" s="244"/>
      <c r="U101" s="244"/>
    </row>
    <row r="102" customFormat="false" ht="15.75" hidden="false" customHeight="false" outlineLevel="0" collapsed="false">
      <c r="T102" s="244"/>
      <c r="U102" s="244"/>
    </row>
    <row r="103" customFormat="false" ht="15.75" hidden="false" customHeight="false" outlineLevel="0" collapsed="false">
      <c r="T103" s="244"/>
      <c r="U103" s="244"/>
    </row>
    <row r="104" customFormat="false" ht="15.75" hidden="false" customHeight="false" outlineLevel="0" collapsed="false">
      <c r="T104" s="244"/>
      <c r="U104" s="244"/>
    </row>
    <row r="105" customFormat="false" ht="15.75" hidden="false" customHeight="false" outlineLevel="0" collapsed="false">
      <c r="T105" s="244"/>
      <c r="U105" s="244"/>
    </row>
    <row r="106" customFormat="false" ht="15.75" hidden="false" customHeight="false" outlineLevel="0" collapsed="false">
      <c r="T106" s="244"/>
      <c r="U106" s="244"/>
    </row>
    <row r="107" customFormat="false" ht="15.75" hidden="false" customHeight="false" outlineLevel="0" collapsed="false">
      <c r="T107" s="244"/>
      <c r="U107" s="244"/>
    </row>
    <row r="108" customFormat="false" ht="15.75" hidden="false" customHeight="false" outlineLevel="0" collapsed="false">
      <c r="T108" s="244"/>
      <c r="U108" s="244"/>
    </row>
    <row r="109" customFormat="false" ht="15.75" hidden="false" customHeight="false" outlineLevel="0" collapsed="false">
      <c r="T109" s="244"/>
      <c r="U109" s="244"/>
    </row>
    <row r="110" customFormat="false" ht="15.75" hidden="false" customHeight="false" outlineLevel="0" collapsed="false">
      <c r="T110" s="244"/>
      <c r="U110" s="244"/>
    </row>
    <row r="111" customFormat="false" ht="15.75" hidden="false" customHeight="false" outlineLevel="0" collapsed="false">
      <c r="T111" s="244"/>
      <c r="U111" s="244"/>
    </row>
    <row r="112" customFormat="false" ht="15.75" hidden="false" customHeight="false" outlineLevel="0" collapsed="false">
      <c r="T112" s="244"/>
      <c r="U112" s="244"/>
    </row>
    <row r="113" customFormat="false" ht="15.75" hidden="false" customHeight="false" outlineLevel="0" collapsed="false">
      <c r="T113" s="244"/>
      <c r="U113" s="244"/>
    </row>
    <row r="114" customFormat="false" ht="15.75" hidden="false" customHeight="false" outlineLevel="0" collapsed="false">
      <c r="T114" s="244"/>
      <c r="U114" s="244"/>
    </row>
    <row r="115" customFormat="false" ht="15.75" hidden="false" customHeight="false" outlineLevel="0" collapsed="false">
      <c r="T115" s="244"/>
      <c r="U115" s="244"/>
    </row>
    <row r="116" customFormat="false" ht="15.75" hidden="false" customHeight="false" outlineLevel="0" collapsed="false">
      <c r="T116" s="244"/>
      <c r="U116" s="244"/>
    </row>
    <row r="117" customFormat="false" ht="15.75" hidden="false" customHeight="false" outlineLevel="0" collapsed="false">
      <c r="T117" s="244"/>
      <c r="U117" s="244"/>
    </row>
    <row r="118" customFormat="false" ht="15.75" hidden="false" customHeight="false" outlineLevel="0" collapsed="false">
      <c r="T118" s="244"/>
      <c r="U118" s="244"/>
    </row>
    <row r="119" customFormat="false" ht="15.75" hidden="false" customHeight="false" outlineLevel="0" collapsed="false">
      <c r="T119" s="244"/>
      <c r="U119" s="244"/>
    </row>
    <row r="120" customFormat="false" ht="15.75" hidden="false" customHeight="false" outlineLevel="0" collapsed="false">
      <c r="T120" s="244"/>
      <c r="U120" s="244"/>
    </row>
    <row r="121" customFormat="false" ht="15.75" hidden="false" customHeight="false" outlineLevel="0" collapsed="false">
      <c r="T121" s="244"/>
      <c r="U121" s="244"/>
    </row>
    <row r="122" customFormat="false" ht="15.75" hidden="false" customHeight="false" outlineLevel="0" collapsed="false">
      <c r="T122" s="244"/>
      <c r="U122" s="244"/>
    </row>
    <row r="123" customFormat="false" ht="15.75" hidden="false" customHeight="false" outlineLevel="0" collapsed="false">
      <c r="T123" s="244"/>
      <c r="U123" s="244"/>
    </row>
    <row r="124" customFormat="false" ht="15.75" hidden="false" customHeight="false" outlineLevel="0" collapsed="false">
      <c r="T124" s="244"/>
      <c r="U124" s="244"/>
    </row>
    <row r="125" customFormat="false" ht="15.75" hidden="false" customHeight="false" outlineLevel="0" collapsed="false">
      <c r="T125" s="244"/>
      <c r="U125" s="244"/>
    </row>
    <row r="126" customFormat="false" ht="15.75" hidden="false" customHeight="false" outlineLevel="0" collapsed="false">
      <c r="T126" s="244"/>
      <c r="U126" s="244"/>
    </row>
    <row r="127" customFormat="false" ht="15.75" hidden="false" customHeight="false" outlineLevel="0" collapsed="false">
      <c r="T127" s="244"/>
      <c r="U127" s="244"/>
    </row>
    <row r="128" customFormat="false" ht="15.75" hidden="false" customHeight="false" outlineLevel="0" collapsed="false">
      <c r="T128" s="244"/>
      <c r="U128" s="244"/>
    </row>
    <row r="129" customFormat="false" ht="15.75" hidden="false" customHeight="false" outlineLevel="0" collapsed="false">
      <c r="T129" s="244"/>
      <c r="U129" s="244"/>
    </row>
    <row r="130" customFormat="false" ht="15.75" hidden="false" customHeight="false" outlineLevel="0" collapsed="false">
      <c r="T130" s="244"/>
      <c r="U130" s="244"/>
    </row>
    <row r="131" customFormat="false" ht="15.75" hidden="false" customHeight="false" outlineLevel="0" collapsed="false">
      <c r="T131" s="244"/>
      <c r="U131" s="244"/>
    </row>
    <row r="132" customFormat="false" ht="15.75" hidden="false" customHeight="false" outlineLevel="0" collapsed="false">
      <c r="T132" s="244"/>
      <c r="U132" s="244"/>
    </row>
    <row r="133" customFormat="false" ht="15.75" hidden="false" customHeight="false" outlineLevel="0" collapsed="false">
      <c r="T133" s="244"/>
      <c r="U133" s="244"/>
    </row>
    <row r="134" customFormat="false" ht="15.75" hidden="false" customHeight="false" outlineLevel="0" collapsed="false">
      <c r="T134" s="244"/>
      <c r="U134" s="244"/>
    </row>
    <row r="135" customFormat="false" ht="15.75" hidden="false" customHeight="false" outlineLevel="0" collapsed="false">
      <c r="T135" s="244"/>
      <c r="U135" s="244"/>
    </row>
    <row r="136" customFormat="false" ht="15.75" hidden="false" customHeight="false" outlineLevel="0" collapsed="false">
      <c r="T136" s="244"/>
      <c r="U136" s="244"/>
    </row>
    <row r="137" customFormat="false" ht="15.75" hidden="false" customHeight="false" outlineLevel="0" collapsed="false">
      <c r="T137" s="244"/>
      <c r="U137" s="244"/>
    </row>
    <row r="138" customFormat="false" ht="15.75" hidden="false" customHeight="false" outlineLevel="0" collapsed="false">
      <c r="T138" s="244"/>
      <c r="U138" s="244"/>
    </row>
    <row r="139" customFormat="false" ht="15.75" hidden="false" customHeight="false" outlineLevel="0" collapsed="false">
      <c r="T139" s="244"/>
      <c r="U139" s="244"/>
    </row>
    <row r="140" customFormat="false" ht="15.75" hidden="false" customHeight="false" outlineLevel="0" collapsed="false">
      <c r="T140" s="244"/>
      <c r="U140" s="244"/>
    </row>
    <row r="141" customFormat="false" ht="15.75" hidden="false" customHeight="false" outlineLevel="0" collapsed="false">
      <c r="T141" s="244"/>
      <c r="U141" s="244"/>
    </row>
    <row r="142" customFormat="false" ht="15.75" hidden="false" customHeight="false" outlineLevel="0" collapsed="false">
      <c r="T142" s="244"/>
      <c r="U142" s="244"/>
    </row>
    <row r="143" customFormat="false" ht="15.75" hidden="false" customHeight="false" outlineLevel="0" collapsed="false">
      <c r="T143" s="244"/>
      <c r="U143" s="244"/>
    </row>
    <row r="144" customFormat="false" ht="15.75" hidden="false" customHeight="false" outlineLevel="0" collapsed="false">
      <c r="T144" s="244"/>
      <c r="U144" s="244"/>
    </row>
    <row r="145" customFormat="false" ht="15.75" hidden="false" customHeight="false" outlineLevel="0" collapsed="false">
      <c r="T145" s="244"/>
      <c r="U145" s="244"/>
    </row>
    <row r="146" customFormat="false" ht="15.75" hidden="false" customHeight="false" outlineLevel="0" collapsed="false">
      <c r="T146" s="244"/>
      <c r="U146" s="244"/>
    </row>
    <row r="147" customFormat="false" ht="15.75" hidden="false" customHeight="false" outlineLevel="0" collapsed="false">
      <c r="T147" s="244"/>
      <c r="U147" s="244"/>
    </row>
    <row r="148" customFormat="false" ht="15.75" hidden="false" customHeight="false" outlineLevel="0" collapsed="false">
      <c r="T148" s="244"/>
      <c r="U148" s="244"/>
    </row>
    <row r="149" customFormat="false" ht="15.75" hidden="false" customHeight="false" outlineLevel="0" collapsed="false">
      <c r="T149" s="244"/>
      <c r="U149" s="244"/>
    </row>
    <row r="150" customFormat="false" ht="15.75" hidden="false" customHeight="false" outlineLevel="0" collapsed="false">
      <c r="T150" s="244"/>
      <c r="U150" s="244"/>
    </row>
    <row r="151" customFormat="false" ht="15.75" hidden="false" customHeight="false" outlineLevel="0" collapsed="false">
      <c r="T151" s="244"/>
      <c r="U151" s="244"/>
    </row>
    <row r="152" customFormat="false" ht="15.75" hidden="false" customHeight="false" outlineLevel="0" collapsed="false">
      <c r="T152" s="244"/>
      <c r="U152" s="244"/>
    </row>
    <row r="153" customFormat="false" ht="15.75" hidden="false" customHeight="false" outlineLevel="0" collapsed="false">
      <c r="T153" s="244"/>
      <c r="U153" s="244"/>
    </row>
    <row r="154" customFormat="false" ht="15.75" hidden="false" customHeight="false" outlineLevel="0" collapsed="false">
      <c r="T154" s="244"/>
      <c r="U154" s="244"/>
    </row>
    <row r="155" customFormat="false" ht="15.75" hidden="false" customHeight="false" outlineLevel="0" collapsed="false">
      <c r="T155" s="244"/>
      <c r="U155" s="244"/>
    </row>
    <row r="156" customFormat="false" ht="15.75" hidden="false" customHeight="false" outlineLevel="0" collapsed="false">
      <c r="T156" s="244"/>
      <c r="U156" s="244"/>
    </row>
    <row r="157" customFormat="false" ht="15.75" hidden="false" customHeight="false" outlineLevel="0" collapsed="false">
      <c r="T157" s="244"/>
      <c r="U157" s="244"/>
    </row>
    <row r="158" customFormat="false" ht="15.75" hidden="false" customHeight="false" outlineLevel="0" collapsed="false">
      <c r="T158" s="244"/>
      <c r="U158" s="244"/>
    </row>
    <row r="159" customFormat="false" ht="15.75" hidden="false" customHeight="false" outlineLevel="0" collapsed="false">
      <c r="T159" s="244"/>
      <c r="U159" s="244"/>
    </row>
    <row r="160" customFormat="false" ht="15.75" hidden="false" customHeight="false" outlineLevel="0" collapsed="false">
      <c r="T160" s="244"/>
      <c r="U160" s="244"/>
    </row>
    <row r="161" customFormat="false" ht="15.75" hidden="false" customHeight="false" outlineLevel="0" collapsed="false">
      <c r="T161" s="244"/>
      <c r="U161" s="244"/>
    </row>
    <row r="162" customFormat="false" ht="15.75" hidden="false" customHeight="false" outlineLevel="0" collapsed="false">
      <c r="T162" s="244"/>
      <c r="U162" s="244"/>
    </row>
    <row r="163" customFormat="false" ht="15.75" hidden="false" customHeight="false" outlineLevel="0" collapsed="false">
      <c r="T163" s="244"/>
      <c r="U163" s="244"/>
    </row>
    <row r="164" customFormat="false" ht="15.75" hidden="false" customHeight="false" outlineLevel="0" collapsed="false">
      <c r="T164" s="244"/>
      <c r="U164" s="244"/>
    </row>
    <row r="165" customFormat="false" ht="15.75" hidden="false" customHeight="false" outlineLevel="0" collapsed="false">
      <c r="T165" s="244"/>
      <c r="U165" s="244"/>
    </row>
    <row r="166" customFormat="false" ht="15.75" hidden="false" customHeight="false" outlineLevel="0" collapsed="false">
      <c r="T166" s="244"/>
      <c r="U166" s="244"/>
    </row>
    <row r="167" customFormat="false" ht="15.75" hidden="false" customHeight="false" outlineLevel="0" collapsed="false">
      <c r="T167" s="244"/>
      <c r="U167" s="244"/>
    </row>
    <row r="168" customFormat="false" ht="15.75" hidden="false" customHeight="false" outlineLevel="0" collapsed="false">
      <c r="T168" s="244"/>
      <c r="U168" s="244"/>
    </row>
    <row r="169" customFormat="false" ht="15.75" hidden="false" customHeight="false" outlineLevel="0" collapsed="false">
      <c r="T169" s="244"/>
      <c r="U169" s="244"/>
    </row>
    <row r="170" customFormat="false" ht="15.75" hidden="false" customHeight="false" outlineLevel="0" collapsed="false">
      <c r="T170" s="244"/>
      <c r="U170" s="244"/>
    </row>
    <row r="171" customFormat="false" ht="15.75" hidden="false" customHeight="false" outlineLevel="0" collapsed="false">
      <c r="T171" s="244"/>
      <c r="U171" s="244"/>
    </row>
    <row r="172" customFormat="false" ht="15.75" hidden="false" customHeight="false" outlineLevel="0" collapsed="false">
      <c r="T172" s="244"/>
      <c r="U172" s="244"/>
    </row>
    <row r="173" customFormat="false" ht="15.75" hidden="false" customHeight="false" outlineLevel="0" collapsed="false">
      <c r="T173" s="244"/>
      <c r="U173" s="244"/>
    </row>
    <row r="174" customFormat="false" ht="15.75" hidden="false" customHeight="false" outlineLevel="0" collapsed="false">
      <c r="T174" s="244"/>
      <c r="U174" s="244"/>
    </row>
    <row r="175" customFormat="false" ht="15.75" hidden="false" customHeight="false" outlineLevel="0" collapsed="false">
      <c r="T175" s="244"/>
      <c r="U175" s="244"/>
    </row>
    <row r="176" customFormat="false" ht="15.75" hidden="false" customHeight="false" outlineLevel="0" collapsed="false">
      <c r="T176" s="244"/>
      <c r="U176" s="244"/>
    </row>
    <row r="177" customFormat="false" ht="15.75" hidden="false" customHeight="false" outlineLevel="0" collapsed="false">
      <c r="T177" s="244"/>
      <c r="U177" s="244"/>
    </row>
    <row r="178" customFormat="false" ht="15.75" hidden="false" customHeight="false" outlineLevel="0" collapsed="false">
      <c r="T178" s="244"/>
      <c r="U178" s="244"/>
    </row>
    <row r="179" customFormat="false" ht="15.75" hidden="false" customHeight="false" outlineLevel="0" collapsed="false">
      <c r="T179" s="244"/>
      <c r="U179" s="244"/>
    </row>
    <row r="180" customFormat="false" ht="15.75" hidden="false" customHeight="false" outlineLevel="0" collapsed="false">
      <c r="T180" s="244"/>
      <c r="U180" s="244"/>
    </row>
    <row r="181" customFormat="false" ht="15.75" hidden="false" customHeight="false" outlineLevel="0" collapsed="false">
      <c r="T181" s="244"/>
      <c r="U181" s="244"/>
    </row>
    <row r="182" customFormat="false" ht="15.75" hidden="false" customHeight="false" outlineLevel="0" collapsed="false">
      <c r="T182" s="244"/>
      <c r="U182" s="244"/>
    </row>
    <row r="183" customFormat="false" ht="15.75" hidden="false" customHeight="false" outlineLevel="0" collapsed="false">
      <c r="T183" s="244"/>
      <c r="U183" s="244"/>
    </row>
    <row r="184" customFormat="false" ht="15.75" hidden="false" customHeight="false" outlineLevel="0" collapsed="false">
      <c r="T184" s="244"/>
      <c r="U184" s="244"/>
    </row>
    <row r="185" customFormat="false" ht="15.75" hidden="false" customHeight="false" outlineLevel="0" collapsed="false">
      <c r="T185" s="244"/>
      <c r="U185" s="244"/>
    </row>
    <row r="186" customFormat="false" ht="15.75" hidden="false" customHeight="false" outlineLevel="0" collapsed="false">
      <c r="T186" s="244"/>
      <c r="U186" s="244"/>
    </row>
    <row r="187" customFormat="false" ht="15.75" hidden="false" customHeight="false" outlineLevel="0" collapsed="false">
      <c r="T187" s="244"/>
      <c r="U187" s="244"/>
    </row>
    <row r="188" customFormat="false" ht="15.75" hidden="false" customHeight="false" outlineLevel="0" collapsed="false">
      <c r="T188" s="244"/>
      <c r="U188" s="244"/>
    </row>
    <row r="189" customFormat="false" ht="15.75" hidden="false" customHeight="false" outlineLevel="0" collapsed="false">
      <c r="T189" s="244"/>
      <c r="U189" s="244"/>
    </row>
    <row r="190" customFormat="false" ht="15.75" hidden="false" customHeight="false" outlineLevel="0" collapsed="false">
      <c r="T190" s="244"/>
      <c r="U190" s="244"/>
    </row>
    <row r="191" customFormat="false" ht="15.75" hidden="false" customHeight="false" outlineLevel="0" collapsed="false">
      <c r="T191" s="244"/>
      <c r="U191" s="244"/>
    </row>
    <row r="192" customFormat="false" ht="15.75" hidden="false" customHeight="false" outlineLevel="0" collapsed="false">
      <c r="T192" s="244"/>
      <c r="U192" s="244"/>
    </row>
    <row r="193" customFormat="false" ht="15.75" hidden="false" customHeight="false" outlineLevel="0" collapsed="false">
      <c r="T193" s="244"/>
      <c r="U193" s="244"/>
    </row>
    <row r="194" customFormat="false" ht="15.75" hidden="false" customHeight="false" outlineLevel="0" collapsed="false">
      <c r="T194" s="244"/>
      <c r="U194" s="244"/>
    </row>
    <row r="195" customFormat="false" ht="15.75" hidden="false" customHeight="false" outlineLevel="0" collapsed="false">
      <c r="T195" s="244"/>
      <c r="U195" s="244"/>
    </row>
    <row r="196" customFormat="false" ht="15.75" hidden="false" customHeight="false" outlineLevel="0" collapsed="false">
      <c r="T196" s="244"/>
      <c r="U196" s="244"/>
    </row>
    <row r="197" customFormat="false" ht="15.75" hidden="false" customHeight="false" outlineLevel="0" collapsed="false">
      <c r="T197" s="244"/>
      <c r="U197" s="244"/>
    </row>
    <row r="198" customFormat="false" ht="15.75" hidden="false" customHeight="false" outlineLevel="0" collapsed="false">
      <c r="T198" s="244"/>
      <c r="U198" s="244"/>
    </row>
    <row r="199" customFormat="false" ht="15.75" hidden="false" customHeight="false" outlineLevel="0" collapsed="false">
      <c r="T199" s="244"/>
      <c r="U199" s="244"/>
    </row>
    <row r="200" customFormat="false" ht="15.75" hidden="false" customHeight="false" outlineLevel="0" collapsed="false">
      <c r="T200" s="244"/>
      <c r="U200" s="244"/>
    </row>
    <row r="201" customFormat="false" ht="15.75" hidden="false" customHeight="false" outlineLevel="0" collapsed="false">
      <c r="T201" s="244"/>
      <c r="U201" s="244"/>
    </row>
    <row r="202" customFormat="false" ht="15.75" hidden="false" customHeight="false" outlineLevel="0" collapsed="false">
      <c r="T202" s="244"/>
      <c r="U202" s="244"/>
    </row>
    <row r="203" customFormat="false" ht="15.75" hidden="false" customHeight="false" outlineLevel="0" collapsed="false">
      <c r="T203" s="244"/>
      <c r="U203" s="244"/>
    </row>
    <row r="204" customFormat="false" ht="15.75" hidden="false" customHeight="false" outlineLevel="0" collapsed="false">
      <c r="T204" s="244"/>
      <c r="U204" s="244"/>
    </row>
    <row r="205" customFormat="false" ht="15.75" hidden="false" customHeight="false" outlineLevel="0" collapsed="false">
      <c r="T205" s="244"/>
      <c r="U205" s="244"/>
    </row>
    <row r="206" customFormat="false" ht="15.75" hidden="false" customHeight="false" outlineLevel="0" collapsed="false">
      <c r="T206" s="244"/>
      <c r="U206" s="244"/>
    </row>
    <row r="207" customFormat="false" ht="15.75" hidden="false" customHeight="false" outlineLevel="0" collapsed="false">
      <c r="T207" s="244"/>
      <c r="U207" s="244"/>
    </row>
    <row r="208" customFormat="false" ht="15.75" hidden="false" customHeight="false" outlineLevel="0" collapsed="false">
      <c r="T208" s="244"/>
      <c r="U208" s="244"/>
    </row>
    <row r="209" customFormat="false" ht="15.75" hidden="false" customHeight="false" outlineLevel="0" collapsed="false">
      <c r="T209" s="244"/>
      <c r="U209" s="244"/>
    </row>
    <row r="210" customFormat="false" ht="15.75" hidden="false" customHeight="false" outlineLevel="0" collapsed="false">
      <c r="T210" s="244"/>
      <c r="U210" s="244"/>
    </row>
    <row r="211" customFormat="false" ht="15.75" hidden="false" customHeight="false" outlineLevel="0" collapsed="false">
      <c r="T211" s="244"/>
      <c r="U211" s="244"/>
    </row>
    <row r="212" customFormat="false" ht="15.75" hidden="false" customHeight="false" outlineLevel="0" collapsed="false">
      <c r="T212" s="244"/>
      <c r="U212" s="244"/>
    </row>
    <row r="213" customFormat="false" ht="15.75" hidden="false" customHeight="false" outlineLevel="0" collapsed="false">
      <c r="T213" s="244"/>
      <c r="U213" s="244"/>
    </row>
    <row r="214" customFormat="false" ht="15.75" hidden="false" customHeight="false" outlineLevel="0" collapsed="false">
      <c r="T214" s="244"/>
      <c r="U214" s="244"/>
    </row>
    <row r="215" customFormat="false" ht="15.75" hidden="false" customHeight="false" outlineLevel="0" collapsed="false">
      <c r="T215" s="244"/>
      <c r="U215" s="244"/>
    </row>
    <row r="216" customFormat="false" ht="15.75" hidden="false" customHeight="false" outlineLevel="0" collapsed="false">
      <c r="T216" s="244"/>
      <c r="U216" s="244"/>
    </row>
    <row r="217" customFormat="false" ht="15.75" hidden="false" customHeight="false" outlineLevel="0" collapsed="false">
      <c r="T217" s="244"/>
      <c r="U217" s="244"/>
    </row>
    <row r="218" customFormat="false" ht="15.75" hidden="false" customHeight="false" outlineLevel="0" collapsed="false">
      <c r="T218" s="244"/>
      <c r="U218" s="244"/>
    </row>
    <row r="219" customFormat="false" ht="15.75" hidden="false" customHeight="false" outlineLevel="0" collapsed="false">
      <c r="T219" s="244"/>
      <c r="U219" s="244"/>
    </row>
    <row r="220" customFormat="false" ht="15.75" hidden="false" customHeight="false" outlineLevel="0" collapsed="false">
      <c r="T220" s="244"/>
      <c r="U220" s="244"/>
    </row>
    <row r="221" customFormat="false" ht="15.75" hidden="false" customHeight="false" outlineLevel="0" collapsed="false">
      <c r="T221" s="244"/>
      <c r="U221" s="244"/>
    </row>
    <row r="222" customFormat="false" ht="15.75" hidden="false" customHeight="false" outlineLevel="0" collapsed="false">
      <c r="T222" s="244"/>
      <c r="U222" s="244"/>
    </row>
    <row r="223" customFormat="false" ht="15.75" hidden="false" customHeight="false" outlineLevel="0" collapsed="false">
      <c r="T223" s="244"/>
      <c r="U223" s="244"/>
    </row>
    <row r="224" customFormat="false" ht="15.75" hidden="false" customHeight="false" outlineLevel="0" collapsed="false">
      <c r="T224" s="244"/>
      <c r="U224" s="244"/>
    </row>
    <row r="225" customFormat="false" ht="15.75" hidden="false" customHeight="false" outlineLevel="0" collapsed="false">
      <c r="T225" s="244"/>
      <c r="U225" s="244"/>
    </row>
    <row r="226" customFormat="false" ht="15.75" hidden="false" customHeight="false" outlineLevel="0" collapsed="false">
      <c r="T226" s="244"/>
      <c r="U226" s="244"/>
    </row>
    <row r="227" customFormat="false" ht="15.75" hidden="false" customHeight="false" outlineLevel="0" collapsed="false">
      <c r="T227" s="244"/>
      <c r="U227" s="244"/>
    </row>
    <row r="228" customFormat="false" ht="15.75" hidden="false" customHeight="false" outlineLevel="0" collapsed="false">
      <c r="T228" s="244"/>
      <c r="U228" s="244"/>
    </row>
    <row r="229" customFormat="false" ht="15.75" hidden="false" customHeight="false" outlineLevel="0" collapsed="false">
      <c r="T229" s="244"/>
      <c r="U229" s="244"/>
    </row>
    <row r="230" customFormat="false" ht="15.75" hidden="false" customHeight="false" outlineLevel="0" collapsed="false">
      <c r="T230" s="244"/>
      <c r="U230" s="244"/>
    </row>
    <row r="231" customFormat="false" ht="15.75" hidden="false" customHeight="false" outlineLevel="0" collapsed="false">
      <c r="T231" s="244"/>
      <c r="U231" s="244"/>
    </row>
    <row r="232" customFormat="false" ht="15.75" hidden="false" customHeight="false" outlineLevel="0" collapsed="false">
      <c r="T232" s="244"/>
      <c r="U232" s="244"/>
    </row>
    <row r="233" customFormat="false" ht="15.75" hidden="false" customHeight="false" outlineLevel="0" collapsed="false">
      <c r="T233" s="244"/>
      <c r="U233" s="244"/>
    </row>
    <row r="234" customFormat="false" ht="15.75" hidden="false" customHeight="false" outlineLevel="0" collapsed="false">
      <c r="T234" s="244"/>
      <c r="U234" s="244"/>
    </row>
    <row r="235" customFormat="false" ht="15.75" hidden="false" customHeight="false" outlineLevel="0" collapsed="false">
      <c r="T235" s="244"/>
      <c r="U235" s="244"/>
    </row>
    <row r="236" customFormat="false" ht="15.75" hidden="false" customHeight="false" outlineLevel="0" collapsed="false">
      <c r="T236" s="244"/>
      <c r="U236" s="244"/>
    </row>
    <row r="237" customFormat="false" ht="15.75" hidden="false" customHeight="false" outlineLevel="0" collapsed="false">
      <c r="T237" s="244"/>
      <c r="U237" s="244"/>
    </row>
    <row r="238" customFormat="false" ht="15.75" hidden="false" customHeight="false" outlineLevel="0" collapsed="false">
      <c r="T238" s="244"/>
      <c r="U238" s="244"/>
    </row>
    <row r="239" customFormat="false" ht="15.75" hidden="false" customHeight="false" outlineLevel="0" collapsed="false">
      <c r="T239" s="244"/>
      <c r="U239" s="244"/>
    </row>
    <row r="240" customFormat="false" ht="15.75" hidden="false" customHeight="false" outlineLevel="0" collapsed="false">
      <c r="T240" s="244"/>
      <c r="U240" s="244"/>
    </row>
    <row r="241" customFormat="false" ht="15.75" hidden="false" customHeight="false" outlineLevel="0" collapsed="false">
      <c r="T241" s="244"/>
      <c r="U241" s="244"/>
    </row>
    <row r="242" customFormat="false" ht="15.75" hidden="false" customHeight="false" outlineLevel="0" collapsed="false">
      <c r="T242" s="244"/>
      <c r="U242" s="244"/>
    </row>
    <row r="243" customFormat="false" ht="15.75" hidden="false" customHeight="false" outlineLevel="0" collapsed="false">
      <c r="T243" s="244"/>
      <c r="U243" s="244"/>
    </row>
    <row r="244" customFormat="false" ht="15.75" hidden="false" customHeight="false" outlineLevel="0" collapsed="false">
      <c r="T244" s="244"/>
      <c r="U244" s="244"/>
    </row>
    <row r="245" customFormat="false" ht="15.75" hidden="false" customHeight="false" outlineLevel="0" collapsed="false">
      <c r="T245" s="244"/>
      <c r="U245" s="244"/>
    </row>
    <row r="246" customFormat="false" ht="15.75" hidden="false" customHeight="false" outlineLevel="0" collapsed="false">
      <c r="T246" s="244"/>
      <c r="U246" s="244"/>
    </row>
    <row r="247" customFormat="false" ht="15.75" hidden="false" customHeight="false" outlineLevel="0" collapsed="false">
      <c r="T247" s="244"/>
      <c r="U247" s="244"/>
    </row>
    <row r="248" customFormat="false" ht="15.75" hidden="false" customHeight="false" outlineLevel="0" collapsed="false">
      <c r="T248" s="244"/>
      <c r="U248" s="244"/>
    </row>
    <row r="249" customFormat="false" ht="15.75" hidden="false" customHeight="false" outlineLevel="0" collapsed="false">
      <c r="T249" s="244"/>
      <c r="U249" s="244"/>
    </row>
    <row r="250" customFormat="false" ht="15.75" hidden="false" customHeight="false" outlineLevel="0" collapsed="false">
      <c r="T250" s="244"/>
      <c r="U250" s="244"/>
    </row>
    <row r="251" customFormat="false" ht="15.75" hidden="false" customHeight="false" outlineLevel="0" collapsed="false">
      <c r="T251" s="244"/>
      <c r="U251" s="244"/>
    </row>
    <row r="252" customFormat="false" ht="15.75" hidden="false" customHeight="false" outlineLevel="0" collapsed="false">
      <c r="T252" s="244"/>
      <c r="U252" s="244"/>
    </row>
    <row r="253" customFormat="false" ht="15.75" hidden="false" customHeight="false" outlineLevel="0" collapsed="false">
      <c r="T253" s="244"/>
      <c r="U253" s="244"/>
    </row>
    <row r="254" customFormat="false" ht="15.75" hidden="false" customHeight="false" outlineLevel="0" collapsed="false">
      <c r="T254" s="244"/>
      <c r="U254" s="244"/>
    </row>
    <row r="255" customFormat="false" ht="15.75" hidden="false" customHeight="false" outlineLevel="0" collapsed="false">
      <c r="T255" s="244"/>
      <c r="U255" s="244"/>
    </row>
    <row r="256" customFormat="false" ht="15.75" hidden="false" customHeight="false" outlineLevel="0" collapsed="false">
      <c r="T256" s="244"/>
      <c r="U256" s="244"/>
    </row>
    <row r="257" customFormat="false" ht="15.75" hidden="false" customHeight="false" outlineLevel="0" collapsed="false">
      <c r="T257" s="244"/>
      <c r="U257" s="244"/>
    </row>
    <row r="258" customFormat="false" ht="15.75" hidden="false" customHeight="false" outlineLevel="0" collapsed="false">
      <c r="T258" s="244"/>
      <c r="U258" s="244"/>
    </row>
    <row r="259" customFormat="false" ht="15.75" hidden="false" customHeight="false" outlineLevel="0" collapsed="false">
      <c r="T259" s="244"/>
      <c r="U259" s="244"/>
    </row>
    <row r="260" customFormat="false" ht="15.75" hidden="false" customHeight="false" outlineLevel="0" collapsed="false">
      <c r="T260" s="244"/>
      <c r="U260" s="244"/>
    </row>
    <row r="261" customFormat="false" ht="15.75" hidden="false" customHeight="false" outlineLevel="0" collapsed="false">
      <c r="T261" s="244"/>
      <c r="U261" s="244"/>
    </row>
    <row r="262" customFormat="false" ht="15.75" hidden="false" customHeight="false" outlineLevel="0" collapsed="false">
      <c r="T262" s="244"/>
      <c r="U262" s="244"/>
    </row>
    <row r="263" customFormat="false" ht="15.75" hidden="false" customHeight="false" outlineLevel="0" collapsed="false">
      <c r="T263" s="244"/>
      <c r="U263" s="244"/>
    </row>
    <row r="264" customFormat="false" ht="15.75" hidden="false" customHeight="false" outlineLevel="0" collapsed="false">
      <c r="T264" s="244"/>
      <c r="U264" s="244"/>
    </row>
    <row r="265" customFormat="false" ht="15.75" hidden="false" customHeight="false" outlineLevel="0" collapsed="false">
      <c r="T265" s="244"/>
      <c r="U265" s="244"/>
    </row>
    <row r="266" customFormat="false" ht="15.75" hidden="false" customHeight="false" outlineLevel="0" collapsed="false">
      <c r="T266" s="244"/>
      <c r="U266" s="244"/>
    </row>
    <row r="267" customFormat="false" ht="15.75" hidden="false" customHeight="false" outlineLevel="0" collapsed="false">
      <c r="T267" s="244"/>
      <c r="U267" s="244"/>
    </row>
    <row r="268" customFormat="false" ht="15.75" hidden="false" customHeight="false" outlineLevel="0" collapsed="false">
      <c r="T268" s="244"/>
      <c r="U268" s="244"/>
    </row>
    <row r="269" customFormat="false" ht="15.75" hidden="false" customHeight="false" outlineLevel="0" collapsed="false">
      <c r="T269" s="244"/>
      <c r="U269" s="244"/>
    </row>
    <row r="270" customFormat="false" ht="15.75" hidden="false" customHeight="false" outlineLevel="0" collapsed="false">
      <c r="T270" s="244"/>
      <c r="U270" s="244"/>
    </row>
    <row r="271" customFormat="false" ht="15.75" hidden="false" customHeight="false" outlineLevel="0" collapsed="false">
      <c r="T271" s="244"/>
      <c r="U271" s="244"/>
    </row>
    <row r="272" customFormat="false" ht="15.75" hidden="false" customHeight="false" outlineLevel="0" collapsed="false">
      <c r="T272" s="244"/>
      <c r="U272" s="244"/>
    </row>
    <row r="273" customFormat="false" ht="15.75" hidden="false" customHeight="false" outlineLevel="0" collapsed="false">
      <c r="T273" s="244"/>
      <c r="U273" s="244"/>
    </row>
    <row r="274" customFormat="false" ht="15.75" hidden="false" customHeight="false" outlineLevel="0" collapsed="false">
      <c r="T274" s="244"/>
      <c r="U274" s="244"/>
    </row>
    <row r="275" customFormat="false" ht="15.75" hidden="false" customHeight="false" outlineLevel="0" collapsed="false">
      <c r="T275" s="244"/>
      <c r="U275" s="244"/>
    </row>
    <row r="276" customFormat="false" ht="15.75" hidden="false" customHeight="false" outlineLevel="0" collapsed="false">
      <c r="T276" s="244"/>
      <c r="U276" s="244"/>
    </row>
    <row r="277" customFormat="false" ht="15.75" hidden="false" customHeight="false" outlineLevel="0" collapsed="false">
      <c r="T277" s="244"/>
      <c r="U277" s="244"/>
    </row>
    <row r="278" customFormat="false" ht="15.75" hidden="false" customHeight="false" outlineLevel="0" collapsed="false">
      <c r="T278" s="244"/>
      <c r="U278" s="244"/>
    </row>
    <row r="279" customFormat="false" ht="15.75" hidden="false" customHeight="false" outlineLevel="0" collapsed="false">
      <c r="T279" s="244"/>
      <c r="U279" s="244"/>
    </row>
    <row r="280" customFormat="false" ht="15.75" hidden="false" customHeight="false" outlineLevel="0" collapsed="false">
      <c r="T280" s="244"/>
      <c r="U280" s="244"/>
    </row>
    <row r="281" customFormat="false" ht="15.75" hidden="false" customHeight="false" outlineLevel="0" collapsed="false">
      <c r="T281" s="244"/>
      <c r="U281" s="244"/>
    </row>
    <row r="282" customFormat="false" ht="15.75" hidden="false" customHeight="false" outlineLevel="0" collapsed="false">
      <c r="T282" s="244"/>
      <c r="U282" s="244"/>
    </row>
    <row r="283" customFormat="false" ht="15.75" hidden="false" customHeight="false" outlineLevel="0" collapsed="false">
      <c r="T283" s="244"/>
      <c r="U283" s="244"/>
    </row>
    <row r="284" customFormat="false" ht="15.75" hidden="false" customHeight="false" outlineLevel="0" collapsed="false">
      <c r="T284" s="244"/>
      <c r="U284" s="244"/>
    </row>
    <row r="285" customFormat="false" ht="15.75" hidden="false" customHeight="false" outlineLevel="0" collapsed="false">
      <c r="T285" s="244"/>
      <c r="U285" s="244"/>
    </row>
    <row r="286" customFormat="false" ht="15.75" hidden="false" customHeight="false" outlineLevel="0" collapsed="false">
      <c r="T286" s="244"/>
      <c r="U286" s="244"/>
    </row>
    <row r="287" customFormat="false" ht="15.75" hidden="false" customHeight="false" outlineLevel="0" collapsed="false">
      <c r="T287" s="244"/>
      <c r="U287" s="244"/>
    </row>
    <row r="288" customFormat="false" ht="15.75" hidden="false" customHeight="false" outlineLevel="0" collapsed="false">
      <c r="T288" s="244"/>
      <c r="U288" s="244"/>
    </row>
    <row r="289" customFormat="false" ht="15.75" hidden="false" customHeight="false" outlineLevel="0" collapsed="false">
      <c r="T289" s="244"/>
      <c r="U289" s="244"/>
    </row>
    <row r="290" customFormat="false" ht="15.75" hidden="false" customHeight="false" outlineLevel="0" collapsed="false">
      <c r="T290" s="244"/>
      <c r="U290" s="244"/>
    </row>
    <row r="291" customFormat="false" ht="15.75" hidden="false" customHeight="false" outlineLevel="0" collapsed="false">
      <c r="T291" s="244"/>
      <c r="U291" s="244"/>
    </row>
    <row r="292" customFormat="false" ht="15.75" hidden="false" customHeight="false" outlineLevel="0" collapsed="false">
      <c r="T292" s="244"/>
      <c r="U292" s="244"/>
    </row>
    <row r="293" customFormat="false" ht="15.75" hidden="false" customHeight="false" outlineLevel="0" collapsed="false">
      <c r="T293" s="244"/>
      <c r="U293" s="244"/>
    </row>
    <row r="294" customFormat="false" ht="15.75" hidden="false" customHeight="false" outlineLevel="0" collapsed="false">
      <c r="T294" s="244"/>
      <c r="U294" s="244"/>
    </row>
    <row r="295" customFormat="false" ht="15.75" hidden="false" customHeight="false" outlineLevel="0" collapsed="false">
      <c r="T295" s="244"/>
      <c r="U295" s="244"/>
    </row>
    <row r="296" customFormat="false" ht="15.75" hidden="false" customHeight="false" outlineLevel="0" collapsed="false">
      <c r="T296" s="244"/>
      <c r="U296" s="244"/>
    </row>
    <row r="297" customFormat="false" ht="15.75" hidden="false" customHeight="false" outlineLevel="0" collapsed="false">
      <c r="T297" s="244"/>
      <c r="U297" s="244"/>
    </row>
    <row r="298" customFormat="false" ht="15.75" hidden="false" customHeight="false" outlineLevel="0" collapsed="false">
      <c r="T298" s="244"/>
      <c r="U298" s="244"/>
    </row>
    <row r="299" customFormat="false" ht="15.75" hidden="false" customHeight="false" outlineLevel="0" collapsed="false">
      <c r="T299" s="244"/>
      <c r="U299" s="244"/>
    </row>
    <row r="300" customFormat="false" ht="15.75" hidden="false" customHeight="false" outlineLevel="0" collapsed="false">
      <c r="T300" s="244"/>
      <c r="U300" s="244"/>
    </row>
    <row r="301" customFormat="false" ht="15.75" hidden="false" customHeight="false" outlineLevel="0" collapsed="false">
      <c r="T301" s="244"/>
      <c r="U301" s="244"/>
    </row>
    <row r="302" customFormat="false" ht="15.75" hidden="false" customHeight="false" outlineLevel="0" collapsed="false">
      <c r="T302" s="244"/>
      <c r="U302" s="244"/>
    </row>
    <row r="303" customFormat="false" ht="15.75" hidden="false" customHeight="false" outlineLevel="0" collapsed="false">
      <c r="T303" s="244"/>
      <c r="U303" s="244"/>
    </row>
    <row r="304" customFormat="false" ht="15.75" hidden="false" customHeight="false" outlineLevel="0" collapsed="false">
      <c r="T304" s="244"/>
      <c r="U304" s="244"/>
    </row>
    <row r="305" customFormat="false" ht="15.75" hidden="false" customHeight="false" outlineLevel="0" collapsed="false">
      <c r="T305" s="244"/>
      <c r="U305" s="244"/>
    </row>
    <row r="306" customFormat="false" ht="15.75" hidden="false" customHeight="false" outlineLevel="0" collapsed="false">
      <c r="T306" s="244"/>
      <c r="U306" s="244"/>
    </row>
    <row r="307" customFormat="false" ht="15.75" hidden="false" customHeight="false" outlineLevel="0" collapsed="false">
      <c r="T307" s="244"/>
      <c r="U307" s="244"/>
    </row>
    <row r="308" customFormat="false" ht="15.75" hidden="false" customHeight="false" outlineLevel="0" collapsed="false">
      <c r="T308" s="244"/>
      <c r="U308" s="244"/>
    </row>
    <row r="309" customFormat="false" ht="15.75" hidden="false" customHeight="false" outlineLevel="0" collapsed="false">
      <c r="T309" s="244"/>
      <c r="U309" s="244"/>
    </row>
    <row r="310" customFormat="false" ht="15.75" hidden="false" customHeight="false" outlineLevel="0" collapsed="false">
      <c r="T310" s="244"/>
      <c r="U310" s="244"/>
    </row>
    <row r="311" customFormat="false" ht="15.75" hidden="false" customHeight="false" outlineLevel="0" collapsed="false">
      <c r="T311" s="244"/>
      <c r="U311" s="244"/>
    </row>
    <row r="312" customFormat="false" ht="15.75" hidden="false" customHeight="false" outlineLevel="0" collapsed="false">
      <c r="T312" s="244"/>
      <c r="U312" s="244"/>
    </row>
    <row r="313" customFormat="false" ht="15.75" hidden="false" customHeight="false" outlineLevel="0" collapsed="false">
      <c r="T313" s="244"/>
      <c r="U313" s="244"/>
    </row>
    <row r="314" customFormat="false" ht="15.75" hidden="false" customHeight="false" outlineLevel="0" collapsed="false">
      <c r="T314" s="244"/>
      <c r="U314" s="244"/>
    </row>
    <row r="315" customFormat="false" ht="15.75" hidden="false" customHeight="false" outlineLevel="0" collapsed="false">
      <c r="T315" s="244"/>
      <c r="U315" s="244"/>
    </row>
    <row r="316" customFormat="false" ht="15.75" hidden="false" customHeight="false" outlineLevel="0" collapsed="false">
      <c r="T316" s="244"/>
      <c r="U316" s="244"/>
    </row>
    <row r="317" customFormat="false" ht="15.75" hidden="false" customHeight="false" outlineLevel="0" collapsed="false">
      <c r="T317" s="244"/>
      <c r="U317" s="244"/>
    </row>
    <row r="318" customFormat="false" ht="15.75" hidden="false" customHeight="false" outlineLevel="0" collapsed="false">
      <c r="T318" s="244"/>
      <c r="U318" s="244"/>
    </row>
    <row r="319" customFormat="false" ht="15.75" hidden="false" customHeight="false" outlineLevel="0" collapsed="false">
      <c r="T319" s="244"/>
      <c r="U319" s="244"/>
    </row>
    <row r="320" customFormat="false" ht="15.75" hidden="false" customHeight="false" outlineLevel="0" collapsed="false">
      <c r="T320" s="244"/>
      <c r="U320" s="244"/>
    </row>
    <row r="321" customFormat="false" ht="15.75" hidden="false" customHeight="false" outlineLevel="0" collapsed="false">
      <c r="T321" s="244"/>
      <c r="U321" s="244"/>
    </row>
    <row r="322" customFormat="false" ht="15.75" hidden="false" customHeight="false" outlineLevel="0" collapsed="false">
      <c r="T322" s="244"/>
      <c r="U322" s="244"/>
    </row>
    <row r="323" customFormat="false" ht="15.75" hidden="false" customHeight="false" outlineLevel="0" collapsed="false">
      <c r="T323" s="244"/>
      <c r="U323" s="244"/>
    </row>
    <row r="324" customFormat="false" ht="15.75" hidden="false" customHeight="false" outlineLevel="0" collapsed="false">
      <c r="T324" s="244"/>
      <c r="U324" s="244"/>
    </row>
    <row r="325" customFormat="false" ht="15.75" hidden="false" customHeight="false" outlineLevel="0" collapsed="false">
      <c r="T325" s="244"/>
      <c r="U325" s="244"/>
    </row>
    <row r="326" customFormat="false" ht="15.75" hidden="false" customHeight="false" outlineLevel="0" collapsed="false">
      <c r="T326" s="244"/>
      <c r="U326" s="244"/>
    </row>
    <row r="327" customFormat="false" ht="15.75" hidden="false" customHeight="false" outlineLevel="0" collapsed="false">
      <c r="T327" s="244"/>
      <c r="U327" s="244"/>
    </row>
    <row r="328" customFormat="false" ht="15.75" hidden="false" customHeight="false" outlineLevel="0" collapsed="false">
      <c r="T328" s="244"/>
      <c r="U328" s="244"/>
    </row>
    <row r="329" customFormat="false" ht="15.75" hidden="false" customHeight="false" outlineLevel="0" collapsed="false">
      <c r="T329" s="244"/>
      <c r="U329" s="244"/>
    </row>
    <row r="330" customFormat="false" ht="15.75" hidden="false" customHeight="false" outlineLevel="0" collapsed="false">
      <c r="T330" s="244"/>
      <c r="U330" s="244"/>
    </row>
    <row r="331" customFormat="false" ht="15.75" hidden="false" customHeight="false" outlineLevel="0" collapsed="false">
      <c r="T331" s="244"/>
      <c r="U331" s="244"/>
    </row>
    <row r="332" customFormat="false" ht="15.75" hidden="false" customHeight="false" outlineLevel="0" collapsed="false">
      <c r="T332" s="244"/>
      <c r="U332" s="244"/>
    </row>
    <row r="333" customFormat="false" ht="15.75" hidden="false" customHeight="false" outlineLevel="0" collapsed="false">
      <c r="T333" s="244"/>
      <c r="U333" s="244"/>
    </row>
    <row r="334" customFormat="false" ht="15.75" hidden="false" customHeight="false" outlineLevel="0" collapsed="false">
      <c r="T334" s="244"/>
      <c r="U334" s="244"/>
    </row>
    <row r="335" customFormat="false" ht="15.75" hidden="false" customHeight="false" outlineLevel="0" collapsed="false">
      <c r="T335" s="244"/>
      <c r="U335" s="244"/>
    </row>
    <row r="336" customFormat="false" ht="15.75" hidden="false" customHeight="false" outlineLevel="0" collapsed="false">
      <c r="T336" s="244"/>
      <c r="U336" s="244"/>
    </row>
    <row r="337" customFormat="false" ht="15.75" hidden="false" customHeight="false" outlineLevel="0" collapsed="false">
      <c r="T337" s="244"/>
      <c r="U337" s="244"/>
    </row>
    <row r="338" customFormat="false" ht="15.75" hidden="false" customHeight="false" outlineLevel="0" collapsed="false">
      <c r="T338" s="244"/>
      <c r="U338" s="244"/>
    </row>
    <row r="339" customFormat="false" ht="15.75" hidden="false" customHeight="false" outlineLevel="0" collapsed="false">
      <c r="T339" s="244"/>
      <c r="U339" s="244"/>
    </row>
    <row r="340" customFormat="false" ht="15.75" hidden="false" customHeight="false" outlineLevel="0" collapsed="false">
      <c r="T340" s="244"/>
      <c r="U340" s="244"/>
    </row>
    <row r="341" customFormat="false" ht="15.75" hidden="false" customHeight="false" outlineLevel="0" collapsed="false">
      <c r="T341" s="244"/>
      <c r="U341" s="244"/>
    </row>
    <row r="342" customFormat="false" ht="15.75" hidden="false" customHeight="false" outlineLevel="0" collapsed="false">
      <c r="T342" s="244"/>
      <c r="U342" s="244"/>
    </row>
    <row r="343" customFormat="false" ht="15.75" hidden="false" customHeight="false" outlineLevel="0" collapsed="false">
      <c r="T343" s="244"/>
      <c r="U343" s="244"/>
    </row>
    <row r="344" customFormat="false" ht="15.75" hidden="false" customHeight="false" outlineLevel="0" collapsed="false">
      <c r="T344" s="244"/>
      <c r="U344" s="244"/>
    </row>
    <row r="345" customFormat="false" ht="15.75" hidden="false" customHeight="false" outlineLevel="0" collapsed="false">
      <c r="T345" s="244"/>
      <c r="U345" s="244"/>
    </row>
    <row r="346" customFormat="false" ht="15.75" hidden="false" customHeight="false" outlineLevel="0" collapsed="false">
      <c r="T346" s="244"/>
      <c r="U346" s="244"/>
    </row>
    <row r="347" customFormat="false" ht="15.75" hidden="false" customHeight="false" outlineLevel="0" collapsed="false">
      <c r="T347" s="244"/>
      <c r="U347" s="244"/>
    </row>
    <row r="348" customFormat="false" ht="15.75" hidden="false" customHeight="false" outlineLevel="0" collapsed="false">
      <c r="T348" s="244"/>
      <c r="U348" s="244"/>
    </row>
    <row r="349" customFormat="false" ht="15.75" hidden="false" customHeight="false" outlineLevel="0" collapsed="false">
      <c r="T349" s="244"/>
      <c r="U349" s="244"/>
    </row>
    <row r="350" customFormat="false" ht="15.75" hidden="false" customHeight="false" outlineLevel="0" collapsed="false">
      <c r="T350" s="244"/>
      <c r="U350" s="244"/>
    </row>
    <row r="351" customFormat="false" ht="15.75" hidden="false" customHeight="false" outlineLevel="0" collapsed="false">
      <c r="T351" s="244"/>
      <c r="U351" s="244"/>
    </row>
    <row r="352" customFormat="false" ht="15.75" hidden="false" customHeight="false" outlineLevel="0" collapsed="false">
      <c r="T352" s="244"/>
      <c r="U352" s="244"/>
    </row>
    <row r="353" customFormat="false" ht="15.75" hidden="false" customHeight="false" outlineLevel="0" collapsed="false">
      <c r="T353" s="244"/>
      <c r="U353" s="244"/>
    </row>
    <row r="354" customFormat="false" ht="15.75" hidden="false" customHeight="false" outlineLevel="0" collapsed="false">
      <c r="T354" s="244"/>
      <c r="U354" s="244"/>
    </row>
    <row r="355" customFormat="false" ht="15.75" hidden="false" customHeight="false" outlineLevel="0" collapsed="false">
      <c r="T355" s="244"/>
      <c r="U355" s="244"/>
    </row>
    <row r="356" customFormat="false" ht="15.75" hidden="false" customHeight="false" outlineLevel="0" collapsed="false">
      <c r="T356" s="244"/>
      <c r="U356" s="244"/>
    </row>
    <row r="357" customFormat="false" ht="15.75" hidden="false" customHeight="false" outlineLevel="0" collapsed="false">
      <c r="T357" s="244"/>
      <c r="U357" s="244"/>
    </row>
    <row r="358" customFormat="false" ht="15.75" hidden="false" customHeight="false" outlineLevel="0" collapsed="false">
      <c r="T358" s="244"/>
      <c r="U358" s="244"/>
    </row>
    <row r="359" customFormat="false" ht="15.75" hidden="false" customHeight="false" outlineLevel="0" collapsed="false">
      <c r="T359" s="244"/>
      <c r="U359" s="244"/>
    </row>
    <row r="360" customFormat="false" ht="15.75" hidden="false" customHeight="false" outlineLevel="0" collapsed="false">
      <c r="T360" s="244"/>
      <c r="U360" s="244"/>
    </row>
    <row r="361" customFormat="false" ht="15.75" hidden="false" customHeight="false" outlineLevel="0" collapsed="false">
      <c r="T361" s="244"/>
      <c r="U361" s="244"/>
    </row>
    <row r="362" customFormat="false" ht="15.75" hidden="false" customHeight="false" outlineLevel="0" collapsed="false">
      <c r="T362" s="244"/>
      <c r="U362" s="244"/>
    </row>
    <row r="363" customFormat="false" ht="15.75" hidden="false" customHeight="false" outlineLevel="0" collapsed="false">
      <c r="T363" s="244"/>
      <c r="U363" s="244"/>
    </row>
    <row r="364" customFormat="false" ht="15.75" hidden="false" customHeight="false" outlineLevel="0" collapsed="false">
      <c r="T364" s="244"/>
      <c r="U364" s="244"/>
    </row>
    <row r="365" customFormat="false" ht="15.75" hidden="false" customHeight="false" outlineLevel="0" collapsed="false">
      <c r="T365" s="244"/>
      <c r="U365" s="244"/>
    </row>
    <row r="366" customFormat="false" ht="15.75" hidden="false" customHeight="false" outlineLevel="0" collapsed="false">
      <c r="T366" s="244"/>
      <c r="U366" s="244"/>
    </row>
    <row r="367" customFormat="false" ht="15.75" hidden="false" customHeight="false" outlineLevel="0" collapsed="false">
      <c r="T367" s="244"/>
      <c r="U367" s="244"/>
    </row>
    <row r="368" customFormat="false" ht="15.75" hidden="false" customHeight="false" outlineLevel="0" collapsed="false">
      <c r="T368" s="244"/>
      <c r="U368" s="244"/>
    </row>
    <row r="369" customFormat="false" ht="15.75" hidden="false" customHeight="false" outlineLevel="0" collapsed="false">
      <c r="T369" s="244"/>
      <c r="U369" s="244"/>
    </row>
    <row r="370" customFormat="false" ht="15.75" hidden="false" customHeight="false" outlineLevel="0" collapsed="false">
      <c r="T370" s="244"/>
      <c r="U370" s="244"/>
    </row>
    <row r="371" customFormat="false" ht="15.75" hidden="false" customHeight="false" outlineLevel="0" collapsed="false">
      <c r="T371" s="244"/>
      <c r="U371" s="244"/>
    </row>
    <row r="372" customFormat="false" ht="15.75" hidden="false" customHeight="false" outlineLevel="0" collapsed="false">
      <c r="T372" s="244"/>
      <c r="U372" s="244"/>
    </row>
    <row r="373" customFormat="false" ht="15.75" hidden="false" customHeight="false" outlineLevel="0" collapsed="false">
      <c r="T373" s="244"/>
      <c r="U373" s="244"/>
    </row>
    <row r="374" customFormat="false" ht="15.75" hidden="false" customHeight="false" outlineLevel="0" collapsed="false">
      <c r="T374" s="244"/>
      <c r="U374" s="244"/>
    </row>
    <row r="375" customFormat="false" ht="15.75" hidden="false" customHeight="false" outlineLevel="0" collapsed="false">
      <c r="T375" s="244"/>
      <c r="U375" s="244"/>
    </row>
    <row r="376" customFormat="false" ht="15.75" hidden="false" customHeight="false" outlineLevel="0" collapsed="false">
      <c r="T376" s="244"/>
      <c r="U376" s="244"/>
    </row>
    <row r="377" customFormat="false" ht="15.75" hidden="false" customHeight="false" outlineLevel="0" collapsed="false">
      <c r="T377" s="244"/>
      <c r="U377" s="244"/>
    </row>
    <row r="378" customFormat="false" ht="15.75" hidden="false" customHeight="false" outlineLevel="0" collapsed="false">
      <c r="T378" s="244"/>
      <c r="U378" s="244"/>
    </row>
    <row r="379" customFormat="false" ht="15.75" hidden="false" customHeight="false" outlineLevel="0" collapsed="false">
      <c r="T379" s="244"/>
      <c r="U379" s="244"/>
    </row>
    <row r="380" customFormat="false" ht="15.75" hidden="false" customHeight="false" outlineLevel="0" collapsed="false">
      <c r="T380" s="244"/>
      <c r="U380" s="244"/>
    </row>
    <row r="381" customFormat="false" ht="15.75" hidden="false" customHeight="false" outlineLevel="0" collapsed="false">
      <c r="T381" s="244"/>
      <c r="U381" s="244"/>
    </row>
    <row r="382" customFormat="false" ht="15.75" hidden="false" customHeight="false" outlineLevel="0" collapsed="false">
      <c r="T382" s="244"/>
      <c r="U382" s="244"/>
    </row>
    <row r="383" customFormat="false" ht="15.75" hidden="false" customHeight="false" outlineLevel="0" collapsed="false">
      <c r="T383" s="244"/>
      <c r="U383" s="244"/>
    </row>
    <row r="384" customFormat="false" ht="15.75" hidden="false" customHeight="false" outlineLevel="0" collapsed="false">
      <c r="T384" s="244"/>
      <c r="U384" s="244"/>
    </row>
    <row r="385" customFormat="false" ht="15.75" hidden="false" customHeight="false" outlineLevel="0" collapsed="false">
      <c r="T385" s="244"/>
      <c r="U385" s="244"/>
    </row>
    <row r="386" customFormat="false" ht="15.75" hidden="false" customHeight="false" outlineLevel="0" collapsed="false">
      <c r="T386" s="244"/>
      <c r="U386" s="244"/>
    </row>
    <row r="387" customFormat="false" ht="15.75" hidden="false" customHeight="false" outlineLevel="0" collapsed="false">
      <c r="T387" s="244"/>
      <c r="U387" s="244"/>
    </row>
    <row r="388" customFormat="false" ht="15.75" hidden="false" customHeight="false" outlineLevel="0" collapsed="false">
      <c r="T388" s="244"/>
      <c r="U388" s="244"/>
    </row>
    <row r="389" customFormat="false" ht="15.75" hidden="false" customHeight="false" outlineLevel="0" collapsed="false">
      <c r="T389" s="244"/>
      <c r="U389" s="244"/>
    </row>
    <row r="390" customFormat="false" ht="15.75" hidden="false" customHeight="false" outlineLevel="0" collapsed="false">
      <c r="T390" s="244"/>
      <c r="U390" s="244"/>
    </row>
    <row r="391" customFormat="false" ht="15.75" hidden="false" customHeight="false" outlineLevel="0" collapsed="false">
      <c r="T391" s="244"/>
      <c r="U391" s="244"/>
    </row>
    <row r="392" customFormat="false" ht="15.75" hidden="false" customHeight="false" outlineLevel="0" collapsed="false">
      <c r="T392" s="244"/>
      <c r="U392" s="244"/>
    </row>
    <row r="393" customFormat="false" ht="15.75" hidden="false" customHeight="false" outlineLevel="0" collapsed="false">
      <c r="T393" s="244"/>
      <c r="U393" s="244"/>
    </row>
    <row r="394" customFormat="false" ht="15.75" hidden="false" customHeight="false" outlineLevel="0" collapsed="false">
      <c r="T394" s="244"/>
      <c r="U394" s="244"/>
    </row>
    <row r="395" customFormat="false" ht="15.75" hidden="false" customHeight="false" outlineLevel="0" collapsed="false">
      <c r="T395" s="244"/>
      <c r="U395" s="244"/>
    </row>
    <row r="396" customFormat="false" ht="15.75" hidden="false" customHeight="false" outlineLevel="0" collapsed="false">
      <c r="T396" s="244"/>
      <c r="U396" s="244"/>
    </row>
    <row r="397" customFormat="false" ht="15.75" hidden="false" customHeight="false" outlineLevel="0" collapsed="false">
      <c r="T397" s="244"/>
      <c r="U397" s="244"/>
    </row>
    <row r="398" customFormat="false" ht="15.75" hidden="false" customHeight="false" outlineLevel="0" collapsed="false">
      <c r="T398" s="244"/>
      <c r="U398" s="244"/>
    </row>
    <row r="399" customFormat="false" ht="15.75" hidden="false" customHeight="false" outlineLevel="0" collapsed="false">
      <c r="T399" s="244"/>
      <c r="U399" s="244"/>
    </row>
    <row r="400" customFormat="false" ht="15.75" hidden="false" customHeight="false" outlineLevel="0" collapsed="false">
      <c r="T400" s="244"/>
      <c r="U400" s="244"/>
    </row>
    <row r="401" customFormat="false" ht="15.75" hidden="false" customHeight="false" outlineLevel="0" collapsed="false">
      <c r="T401" s="244"/>
      <c r="U401" s="244"/>
    </row>
    <row r="402" customFormat="false" ht="15.75" hidden="false" customHeight="false" outlineLevel="0" collapsed="false">
      <c r="T402" s="244"/>
      <c r="U402" s="244"/>
    </row>
    <row r="403" customFormat="false" ht="15.75" hidden="false" customHeight="false" outlineLevel="0" collapsed="false">
      <c r="T403" s="244"/>
      <c r="U403" s="244"/>
    </row>
    <row r="404" customFormat="false" ht="15.75" hidden="false" customHeight="false" outlineLevel="0" collapsed="false">
      <c r="T404" s="244"/>
      <c r="U404" s="244"/>
    </row>
    <row r="405" customFormat="false" ht="15.75" hidden="false" customHeight="false" outlineLevel="0" collapsed="false">
      <c r="T405" s="244"/>
      <c r="U405" s="244"/>
    </row>
    <row r="406" customFormat="false" ht="15.75" hidden="false" customHeight="false" outlineLevel="0" collapsed="false">
      <c r="T406" s="244"/>
      <c r="U406" s="244"/>
    </row>
    <row r="407" customFormat="false" ht="15.75" hidden="false" customHeight="false" outlineLevel="0" collapsed="false">
      <c r="T407" s="244"/>
      <c r="U407" s="244"/>
    </row>
    <row r="408" customFormat="false" ht="15.75" hidden="false" customHeight="false" outlineLevel="0" collapsed="false">
      <c r="T408" s="244"/>
      <c r="U408" s="244"/>
    </row>
    <row r="409" customFormat="false" ht="15.75" hidden="false" customHeight="false" outlineLevel="0" collapsed="false">
      <c r="T409" s="244"/>
      <c r="U409" s="244"/>
    </row>
    <row r="410" customFormat="false" ht="15.75" hidden="false" customHeight="false" outlineLevel="0" collapsed="false">
      <c r="T410" s="244"/>
      <c r="U410" s="244"/>
    </row>
    <row r="411" customFormat="false" ht="15.75" hidden="false" customHeight="false" outlineLevel="0" collapsed="false">
      <c r="T411" s="244"/>
      <c r="U411" s="244"/>
    </row>
    <row r="412" customFormat="false" ht="15.75" hidden="false" customHeight="false" outlineLevel="0" collapsed="false">
      <c r="T412" s="244"/>
      <c r="U412" s="244"/>
    </row>
    <row r="413" customFormat="false" ht="15.75" hidden="false" customHeight="false" outlineLevel="0" collapsed="false">
      <c r="T413" s="244"/>
      <c r="U413" s="244"/>
    </row>
    <row r="414" customFormat="false" ht="15.75" hidden="false" customHeight="false" outlineLevel="0" collapsed="false">
      <c r="T414" s="244"/>
      <c r="U414" s="244"/>
    </row>
    <row r="415" customFormat="false" ht="15.75" hidden="false" customHeight="false" outlineLevel="0" collapsed="false">
      <c r="T415" s="244"/>
      <c r="U415" s="244"/>
    </row>
    <row r="416" customFormat="false" ht="15.75" hidden="false" customHeight="false" outlineLevel="0" collapsed="false">
      <c r="T416" s="244"/>
      <c r="U416" s="244"/>
    </row>
    <row r="417" customFormat="false" ht="15.75" hidden="false" customHeight="false" outlineLevel="0" collapsed="false">
      <c r="T417" s="244"/>
      <c r="U417" s="244"/>
    </row>
    <row r="418" customFormat="false" ht="15.75" hidden="false" customHeight="false" outlineLevel="0" collapsed="false">
      <c r="T418" s="244"/>
      <c r="U418" s="244"/>
    </row>
    <row r="419" customFormat="false" ht="15.75" hidden="false" customHeight="false" outlineLevel="0" collapsed="false">
      <c r="T419" s="244"/>
      <c r="U419" s="244"/>
    </row>
    <row r="420" customFormat="false" ht="15.75" hidden="false" customHeight="false" outlineLevel="0" collapsed="false">
      <c r="T420" s="244"/>
      <c r="U420" s="244"/>
    </row>
    <row r="421" customFormat="false" ht="15.75" hidden="false" customHeight="false" outlineLevel="0" collapsed="false">
      <c r="T421" s="244"/>
      <c r="U421" s="244"/>
    </row>
    <row r="422" customFormat="false" ht="15.75" hidden="false" customHeight="false" outlineLevel="0" collapsed="false">
      <c r="T422" s="244"/>
      <c r="U422" s="244"/>
    </row>
    <row r="423" customFormat="false" ht="15.75" hidden="false" customHeight="false" outlineLevel="0" collapsed="false">
      <c r="T423" s="244"/>
      <c r="U423" s="244"/>
    </row>
    <row r="424" customFormat="false" ht="15.75" hidden="false" customHeight="false" outlineLevel="0" collapsed="false">
      <c r="T424" s="244"/>
      <c r="U424" s="244"/>
    </row>
    <row r="425" customFormat="false" ht="15.75" hidden="false" customHeight="false" outlineLevel="0" collapsed="false">
      <c r="T425" s="244"/>
      <c r="U425" s="244"/>
    </row>
    <row r="426" customFormat="false" ht="15.75" hidden="false" customHeight="false" outlineLevel="0" collapsed="false">
      <c r="T426" s="244"/>
      <c r="U426" s="244"/>
    </row>
    <row r="427" customFormat="false" ht="15.75" hidden="false" customHeight="false" outlineLevel="0" collapsed="false">
      <c r="T427" s="244"/>
      <c r="U427" s="244"/>
    </row>
    <row r="428" customFormat="false" ht="15.75" hidden="false" customHeight="false" outlineLevel="0" collapsed="false">
      <c r="T428" s="244"/>
      <c r="U428" s="244"/>
    </row>
    <row r="429" customFormat="false" ht="15.75" hidden="false" customHeight="false" outlineLevel="0" collapsed="false">
      <c r="T429" s="244"/>
      <c r="U429" s="244"/>
    </row>
    <row r="430" customFormat="false" ht="15.75" hidden="false" customHeight="false" outlineLevel="0" collapsed="false">
      <c r="T430" s="244"/>
      <c r="U430" s="244"/>
    </row>
    <row r="431" customFormat="false" ht="15.75" hidden="false" customHeight="false" outlineLevel="0" collapsed="false">
      <c r="T431" s="244"/>
      <c r="U431" s="244"/>
    </row>
    <row r="432" customFormat="false" ht="15.75" hidden="false" customHeight="false" outlineLevel="0" collapsed="false">
      <c r="T432" s="244"/>
      <c r="U432" s="244"/>
    </row>
    <row r="433" customFormat="false" ht="15.75" hidden="false" customHeight="false" outlineLevel="0" collapsed="false">
      <c r="T433" s="244"/>
      <c r="U433" s="244"/>
    </row>
    <row r="434" customFormat="false" ht="15.75" hidden="false" customHeight="false" outlineLevel="0" collapsed="false">
      <c r="T434" s="244"/>
      <c r="U434" s="244"/>
    </row>
    <row r="435" customFormat="false" ht="15.75" hidden="false" customHeight="false" outlineLevel="0" collapsed="false">
      <c r="T435" s="244"/>
      <c r="U435" s="244"/>
    </row>
    <row r="436" customFormat="false" ht="15.75" hidden="false" customHeight="false" outlineLevel="0" collapsed="false">
      <c r="T436" s="244"/>
      <c r="U436" s="244"/>
    </row>
    <row r="437" customFormat="false" ht="15.75" hidden="false" customHeight="false" outlineLevel="0" collapsed="false">
      <c r="T437" s="244"/>
      <c r="U437" s="244"/>
    </row>
    <row r="438" customFormat="false" ht="15.75" hidden="false" customHeight="false" outlineLevel="0" collapsed="false">
      <c r="T438" s="244"/>
      <c r="U438" s="244"/>
    </row>
    <row r="439" customFormat="false" ht="15.75" hidden="false" customHeight="false" outlineLevel="0" collapsed="false">
      <c r="T439" s="244"/>
      <c r="U439" s="244"/>
    </row>
    <row r="440" customFormat="false" ht="15.75" hidden="false" customHeight="false" outlineLevel="0" collapsed="false">
      <c r="T440" s="244"/>
      <c r="U440" s="244"/>
    </row>
    <row r="441" customFormat="false" ht="15.75" hidden="false" customHeight="false" outlineLevel="0" collapsed="false">
      <c r="T441" s="244"/>
      <c r="U441" s="244"/>
    </row>
    <row r="442" customFormat="false" ht="15.75" hidden="false" customHeight="false" outlineLevel="0" collapsed="false">
      <c r="T442" s="244"/>
      <c r="U442" s="244"/>
    </row>
    <row r="443" customFormat="false" ht="15.75" hidden="false" customHeight="false" outlineLevel="0" collapsed="false">
      <c r="T443" s="244"/>
      <c r="U443" s="244"/>
    </row>
    <row r="444" customFormat="false" ht="15.75" hidden="false" customHeight="false" outlineLevel="0" collapsed="false">
      <c r="T444" s="244"/>
      <c r="U444" s="244"/>
    </row>
    <row r="445" customFormat="false" ht="15.75" hidden="false" customHeight="false" outlineLevel="0" collapsed="false">
      <c r="T445" s="244"/>
      <c r="U445" s="244"/>
    </row>
    <row r="446" customFormat="false" ht="15.75" hidden="false" customHeight="false" outlineLevel="0" collapsed="false">
      <c r="T446" s="244"/>
      <c r="U446" s="244"/>
    </row>
    <row r="447" customFormat="false" ht="15.75" hidden="false" customHeight="false" outlineLevel="0" collapsed="false">
      <c r="T447" s="244"/>
      <c r="U447" s="244"/>
    </row>
    <row r="448" customFormat="false" ht="15.75" hidden="false" customHeight="false" outlineLevel="0" collapsed="false">
      <c r="T448" s="244"/>
      <c r="U448" s="244"/>
    </row>
    <row r="449" customFormat="false" ht="15.75" hidden="false" customHeight="false" outlineLevel="0" collapsed="false">
      <c r="T449" s="244"/>
      <c r="U449" s="244"/>
    </row>
    <row r="450" customFormat="false" ht="15.75" hidden="false" customHeight="false" outlineLevel="0" collapsed="false">
      <c r="T450" s="244"/>
      <c r="U450" s="244"/>
    </row>
    <row r="451" customFormat="false" ht="15.75" hidden="false" customHeight="false" outlineLevel="0" collapsed="false">
      <c r="T451" s="244"/>
      <c r="U451" s="244"/>
    </row>
    <row r="452" customFormat="false" ht="15.75" hidden="false" customHeight="false" outlineLevel="0" collapsed="false">
      <c r="T452" s="244"/>
      <c r="U452" s="244"/>
    </row>
    <row r="453" customFormat="false" ht="15.75" hidden="false" customHeight="false" outlineLevel="0" collapsed="false">
      <c r="T453" s="244"/>
      <c r="U453" s="244"/>
    </row>
    <row r="454" customFormat="false" ht="15.75" hidden="false" customHeight="false" outlineLevel="0" collapsed="false">
      <c r="T454" s="244"/>
      <c r="U454" s="244"/>
    </row>
    <row r="455" customFormat="false" ht="15.75" hidden="false" customHeight="false" outlineLevel="0" collapsed="false">
      <c r="T455" s="244"/>
      <c r="U455" s="244"/>
    </row>
    <row r="456" customFormat="false" ht="15.75" hidden="false" customHeight="false" outlineLevel="0" collapsed="false">
      <c r="T456" s="244"/>
      <c r="U456" s="244"/>
    </row>
    <row r="457" customFormat="false" ht="15.75" hidden="false" customHeight="false" outlineLevel="0" collapsed="false">
      <c r="T457" s="244"/>
      <c r="U457" s="244"/>
    </row>
    <row r="458" customFormat="false" ht="15.75" hidden="false" customHeight="false" outlineLevel="0" collapsed="false">
      <c r="T458" s="244"/>
      <c r="U458" s="244"/>
    </row>
    <row r="459" customFormat="false" ht="15.75" hidden="false" customHeight="false" outlineLevel="0" collapsed="false">
      <c r="T459" s="244"/>
      <c r="U459" s="244"/>
    </row>
    <row r="460" customFormat="false" ht="15.75" hidden="false" customHeight="false" outlineLevel="0" collapsed="false">
      <c r="T460" s="244"/>
      <c r="U460" s="244"/>
    </row>
    <row r="461" customFormat="false" ht="15.75" hidden="false" customHeight="false" outlineLevel="0" collapsed="false">
      <c r="T461" s="244"/>
      <c r="U461" s="244"/>
    </row>
    <row r="462" customFormat="false" ht="15.75" hidden="false" customHeight="false" outlineLevel="0" collapsed="false">
      <c r="T462" s="244"/>
      <c r="U462" s="244"/>
    </row>
    <row r="463" customFormat="false" ht="15.75" hidden="false" customHeight="false" outlineLevel="0" collapsed="false">
      <c r="T463" s="244"/>
      <c r="U463" s="244"/>
    </row>
    <row r="464" customFormat="false" ht="15.75" hidden="false" customHeight="false" outlineLevel="0" collapsed="false">
      <c r="T464" s="244"/>
      <c r="U464" s="244"/>
    </row>
    <row r="465" customFormat="false" ht="15.75" hidden="false" customHeight="false" outlineLevel="0" collapsed="false">
      <c r="T465" s="244"/>
      <c r="U465" s="244"/>
    </row>
    <row r="466" customFormat="false" ht="15.75" hidden="false" customHeight="false" outlineLevel="0" collapsed="false">
      <c r="T466" s="244"/>
      <c r="U466" s="244"/>
    </row>
    <row r="467" customFormat="false" ht="15.75" hidden="false" customHeight="false" outlineLevel="0" collapsed="false">
      <c r="T467" s="244"/>
      <c r="U467" s="244"/>
    </row>
    <row r="468" customFormat="false" ht="15.75" hidden="false" customHeight="false" outlineLevel="0" collapsed="false">
      <c r="T468" s="244"/>
      <c r="U468" s="244"/>
    </row>
    <row r="469" customFormat="false" ht="15.75" hidden="false" customHeight="false" outlineLevel="0" collapsed="false">
      <c r="T469" s="244"/>
      <c r="U469" s="244"/>
    </row>
    <row r="470" customFormat="false" ht="15.75" hidden="false" customHeight="false" outlineLevel="0" collapsed="false">
      <c r="T470" s="244"/>
      <c r="U470" s="244"/>
    </row>
    <row r="471" customFormat="false" ht="15.75" hidden="false" customHeight="false" outlineLevel="0" collapsed="false">
      <c r="T471" s="244"/>
      <c r="U471" s="244"/>
    </row>
    <row r="472" customFormat="false" ht="15.75" hidden="false" customHeight="false" outlineLevel="0" collapsed="false">
      <c r="T472" s="244"/>
      <c r="U472" s="244"/>
    </row>
    <row r="473" customFormat="false" ht="15.75" hidden="false" customHeight="false" outlineLevel="0" collapsed="false">
      <c r="T473" s="244"/>
      <c r="U473" s="244"/>
    </row>
    <row r="474" customFormat="false" ht="15.75" hidden="false" customHeight="false" outlineLevel="0" collapsed="false">
      <c r="T474" s="244"/>
      <c r="U474" s="244"/>
    </row>
    <row r="475" customFormat="false" ht="15.75" hidden="false" customHeight="false" outlineLevel="0" collapsed="false">
      <c r="T475" s="244"/>
      <c r="U475" s="244"/>
    </row>
    <row r="476" customFormat="false" ht="15.75" hidden="false" customHeight="false" outlineLevel="0" collapsed="false">
      <c r="T476" s="244"/>
      <c r="U476" s="244"/>
    </row>
    <row r="477" customFormat="false" ht="15.75" hidden="false" customHeight="false" outlineLevel="0" collapsed="false">
      <c r="T477" s="244"/>
      <c r="U477" s="244"/>
    </row>
    <row r="478" customFormat="false" ht="15.75" hidden="false" customHeight="false" outlineLevel="0" collapsed="false">
      <c r="T478" s="244"/>
      <c r="U478" s="244"/>
    </row>
    <row r="479" customFormat="false" ht="15.75" hidden="false" customHeight="false" outlineLevel="0" collapsed="false">
      <c r="T479" s="244"/>
      <c r="U479" s="244"/>
    </row>
    <row r="480" customFormat="false" ht="15.75" hidden="false" customHeight="false" outlineLevel="0" collapsed="false">
      <c r="T480" s="244"/>
      <c r="U480" s="244"/>
    </row>
    <row r="481" customFormat="false" ht="15.75" hidden="false" customHeight="false" outlineLevel="0" collapsed="false">
      <c r="T481" s="244"/>
      <c r="U481" s="244"/>
    </row>
    <row r="482" customFormat="false" ht="15.75" hidden="false" customHeight="false" outlineLevel="0" collapsed="false">
      <c r="T482" s="244"/>
      <c r="U482" s="244"/>
    </row>
    <row r="483" customFormat="false" ht="15.75" hidden="false" customHeight="false" outlineLevel="0" collapsed="false">
      <c r="T483" s="244"/>
      <c r="U483" s="244"/>
    </row>
    <row r="484" customFormat="false" ht="15.75" hidden="false" customHeight="false" outlineLevel="0" collapsed="false">
      <c r="T484" s="244"/>
      <c r="U484" s="244"/>
    </row>
    <row r="485" customFormat="false" ht="15.75" hidden="false" customHeight="false" outlineLevel="0" collapsed="false">
      <c r="T485" s="244"/>
      <c r="U485" s="244"/>
    </row>
    <row r="486" customFormat="false" ht="15.75" hidden="false" customHeight="false" outlineLevel="0" collapsed="false">
      <c r="T486" s="244"/>
      <c r="U486" s="244"/>
    </row>
    <row r="487" customFormat="false" ht="15.75" hidden="false" customHeight="false" outlineLevel="0" collapsed="false">
      <c r="T487" s="244"/>
      <c r="U487" s="244"/>
    </row>
    <row r="488" customFormat="false" ht="15.75" hidden="false" customHeight="false" outlineLevel="0" collapsed="false">
      <c r="T488" s="244"/>
      <c r="U488" s="244"/>
    </row>
    <row r="489" customFormat="false" ht="15.75" hidden="false" customHeight="false" outlineLevel="0" collapsed="false">
      <c r="T489" s="244"/>
      <c r="U489" s="244"/>
    </row>
    <row r="490" customFormat="false" ht="15.75" hidden="false" customHeight="false" outlineLevel="0" collapsed="false">
      <c r="T490" s="244"/>
      <c r="U490" s="244"/>
    </row>
    <row r="491" customFormat="false" ht="15.75" hidden="false" customHeight="false" outlineLevel="0" collapsed="false">
      <c r="T491" s="244"/>
      <c r="U491" s="244"/>
    </row>
    <row r="492" customFormat="false" ht="15.75" hidden="false" customHeight="false" outlineLevel="0" collapsed="false">
      <c r="T492" s="244"/>
      <c r="U492" s="244"/>
    </row>
    <row r="493" customFormat="false" ht="15.75" hidden="false" customHeight="false" outlineLevel="0" collapsed="false">
      <c r="T493" s="244"/>
      <c r="U493" s="244"/>
    </row>
    <row r="494" customFormat="false" ht="15.75" hidden="false" customHeight="false" outlineLevel="0" collapsed="false">
      <c r="T494" s="244"/>
      <c r="U494" s="244"/>
    </row>
    <row r="495" customFormat="false" ht="15.75" hidden="false" customHeight="false" outlineLevel="0" collapsed="false">
      <c r="T495" s="244"/>
      <c r="U495" s="244"/>
    </row>
    <row r="496" customFormat="false" ht="15.75" hidden="false" customHeight="false" outlineLevel="0" collapsed="false">
      <c r="T496" s="244"/>
      <c r="U496" s="244"/>
    </row>
    <row r="497" customFormat="false" ht="15.75" hidden="false" customHeight="false" outlineLevel="0" collapsed="false">
      <c r="T497" s="244"/>
      <c r="U497" s="244"/>
    </row>
    <row r="498" customFormat="false" ht="15.75" hidden="false" customHeight="false" outlineLevel="0" collapsed="false">
      <c r="T498" s="244"/>
      <c r="U498" s="244"/>
    </row>
    <row r="499" customFormat="false" ht="15.75" hidden="false" customHeight="false" outlineLevel="0" collapsed="false">
      <c r="T499" s="244"/>
      <c r="U499" s="244"/>
    </row>
    <row r="500" customFormat="false" ht="15.75" hidden="false" customHeight="false" outlineLevel="0" collapsed="false">
      <c r="T500" s="244"/>
      <c r="U500" s="244"/>
    </row>
    <row r="501" customFormat="false" ht="15.75" hidden="false" customHeight="false" outlineLevel="0" collapsed="false">
      <c r="T501" s="244"/>
      <c r="U501" s="244"/>
    </row>
    <row r="502" customFormat="false" ht="15.75" hidden="false" customHeight="false" outlineLevel="0" collapsed="false">
      <c r="T502" s="244"/>
      <c r="U502" s="244"/>
    </row>
    <row r="503" customFormat="false" ht="15.75" hidden="false" customHeight="false" outlineLevel="0" collapsed="false">
      <c r="T503" s="244"/>
      <c r="U503" s="244"/>
    </row>
    <row r="504" customFormat="false" ht="15.75" hidden="false" customHeight="false" outlineLevel="0" collapsed="false">
      <c r="T504" s="244"/>
      <c r="U504" s="244"/>
    </row>
    <row r="505" customFormat="false" ht="15.75" hidden="false" customHeight="false" outlineLevel="0" collapsed="false">
      <c r="T505" s="244"/>
      <c r="U505" s="244"/>
    </row>
    <row r="506" customFormat="false" ht="15.75" hidden="false" customHeight="false" outlineLevel="0" collapsed="false">
      <c r="T506" s="244"/>
      <c r="U506" s="244"/>
    </row>
    <row r="507" customFormat="false" ht="15.75" hidden="false" customHeight="false" outlineLevel="0" collapsed="false">
      <c r="T507" s="244"/>
      <c r="U507" s="244"/>
    </row>
    <row r="508" customFormat="false" ht="15.75" hidden="false" customHeight="false" outlineLevel="0" collapsed="false">
      <c r="T508" s="244"/>
      <c r="U508" s="244"/>
    </row>
    <row r="509" customFormat="false" ht="15.75" hidden="false" customHeight="false" outlineLevel="0" collapsed="false">
      <c r="T509" s="244"/>
      <c r="U509" s="244"/>
    </row>
    <row r="510" customFormat="false" ht="15.75" hidden="false" customHeight="false" outlineLevel="0" collapsed="false">
      <c r="T510" s="244"/>
      <c r="U510" s="244"/>
    </row>
    <row r="511" customFormat="false" ht="15.75" hidden="false" customHeight="false" outlineLevel="0" collapsed="false">
      <c r="T511" s="244"/>
      <c r="U511" s="244"/>
    </row>
    <row r="512" customFormat="false" ht="15.75" hidden="false" customHeight="false" outlineLevel="0" collapsed="false">
      <c r="T512" s="244"/>
      <c r="U512" s="244"/>
    </row>
    <row r="513" customFormat="false" ht="15.75" hidden="false" customHeight="false" outlineLevel="0" collapsed="false">
      <c r="T513" s="244"/>
      <c r="U513" s="244"/>
    </row>
    <row r="514" customFormat="false" ht="15.75" hidden="false" customHeight="false" outlineLevel="0" collapsed="false">
      <c r="T514" s="244"/>
      <c r="U514" s="244"/>
    </row>
    <row r="515" customFormat="false" ht="15.75" hidden="false" customHeight="false" outlineLevel="0" collapsed="false">
      <c r="T515" s="244"/>
      <c r="U515" s="244"/>
    </row>
    <row r="516" customFormat="false" ht="15.75" hidden="false" customHeight="false" outlineLevel="0" collapsed="false">
      <c r="T516" s="244"/>
      <c r="U516" s="244"/>
    </row>
    <row r="517" customFormat="false" ht="15.75" hidden="false" customHeight="false" outlineLevel="0" collapsed="false">
      <c r="T517" s="244"/>
      <c r="U517" s="244"/>
    </row>
    <row r="518" customFormat="false" ht="15.75" hidden="false" customHeight="false" outlineLevel="0" collapsed="false">
      <c r="T518" s="244"/>
      <c r="U518" s="244"/>
    </row>
    <row r="519" customFormat="false" ht="15.75" hidden="false" customHeight="false" outlineLevel="0" collapsed="false">
      <c r="T519" s="244"/>
      <c r="U519" s="244"/>
    </row>
    <row r="520" customFormat="false" ht="15.75" hidden="false" customHeight="false" outlineLevel="0" collapsed="false">
      <c r="T520" s="244"/>
      <c r="U520" s="244"/>
    </row>
    <row r="521" customFormat="false" ht="15.75" hidden="false" customHeight="false" outlineLevel="0" collapsed="false">
      <c r="T521" s="244"/>
      <c r="U521" s="244"/>
    </row>
    <row r="522" customFormat="false" ht="15.75" hidden="false" customHeight="false" outlineLevel="0" collapsed="false">
      <c r="T522" s="244"/>
      <c r="U522" s="244"/>
    </row>
    <row r="523" customFormat="false" ht="15.75" hidden="false" customHeight="false" outlineLevel="0" collapsed="false">
      <c r="T523" s="244"/>
      <c r="U523" s="244"/>
    </row>
    <row r="524" customFormat="false" ht="15.75" hidden="false" customHeight="false" outlineLevel="0" collapsed="false">
      <c r="T524" s="244"/>
      <c r="U524" s="244"/>
    </row>
    <row r="525" customFormat="false" ht="15.75" hidden="false" customHeight="false" outlineLevel="0" collapsed="false">
      <c r="T525" s="244"/>
      <c r="U525" s="244"/>
    </row>
    <row r="526" customFormat="false" ht="15.75" hidden="false" customHeight="false" outlineLevel="0" collapsed="false">
      <c r="T526" s="244"/>
      <c r="U526" s="244"/>
    </row>
    <row r="527" customFormat="false" ht="15.75" hidden="false" customHeight="false" outlineLevel="0" collapsed="false">
      <c r="T527" s="244"/>
      <c r="U527" s="244"/>
    </row>
    <row r="528" customFormat="false" ht="15.75" hidden="false" customHeight="false" outlineLevel="0" collapsed="false">
      <c r="T528" s="244"/>
      <c r="U528" s="244"/>
    </row>
    <row r="529" customFormat="false" ht="15.75" hidden="false" customHeight="false" outlineLevel="0" collapsed="false">
      <c r="T529" s="244"/>
      <c r="U529" s="244"/>
    </row>
    <row r="530" customFormat="false" ht="15.75" hidden="false" customHeight="false" outlineLevel="0" collapsed="false">
      <c r="T530" s="244"/>
      <c r="U530" s="244"/>
    </row>
    <row r="531" customFormat="false" ht="15.75" hidden="false" customHeight="false" outlineLevel="0" collapsed="false">
      <c r="T531" s="244"/>
      <c r="U531" s="244"/>
    </row>
    <row r="532" customFormat="false" ht="15.75" hidden="false" customHeight="false" outlineLevel="0" collapsed="false">
      <c r="T532" s="244"/>
      <c r="U532" s="244"/>
    </row>
    <row r="533" customFormat="false" ht="15.75" hidden="false" customHeight="false" outlineLevel="0" collapsed="false">
      <c r="T533" s="244"/>
      <c r="U533" s="244"/>
    </row>
    <row r="534" customFormat="false" ht="15.75" hidden="false" customHeight="false" outlineLevel="0" collapsed="false">
      <c r="T534" s="244"/>
      <c r="U534" s="244"/>
    </row>
    <row r="535" customFormat="false" ht="15.75" hidden="false" customHeight="false" outlineLevel="0" collapsed="false">
      <c r="T535" s="244"/>
      <c r="U535" s="244"/>
    </row>
    <row r="536" customFormat="false" ht="15.75" hidden="false" customHeight="false" outlineLevel="0" collapsed="false">
      <c r="T536" s="244"/>
      <c r="U536" s="244"/>
    </row>
    <row r="537" customFormat="false" ht="15.75" hidden="false" customHeight="false" outlineLevel="0" collapsed="false">
      <c r="T537" s="244"/>
      <c r="U537" s="244"/>
    </row>
    <row r="538" customFormat="false" ht="15.75" hidden="false" customHeight="false" outlineLevel="0" collapsed="false">
      <c r="T538" s="244"/>
      <c r="U538" s="244"/>
    </row>
    <row r="539" customFormat="false" ht="15.75" hidden="false" customHeight="false" outlineLevel="0" collapsed="false">
      <c r="T539" s="244"/>
      <c r="U539" s="244"/>
    </row>
    <row r="540" customFormat="false" ht="15.75" hidden="false" customHeight="false" outlineLevel="0" collapsed="false">
      <c r="T540" s="244"/>
      <c r="U540" s="244"/>
    </row>
    <row r="541" customFormat="false" ht="15.75" hidden="false" customHeight="false" outlineLevel="0" collapsed="false">
      <c r="T541" s="244"/>
      <c r="U541" s="244"/>
    </row>
    <row r="542" customFormat="false" ht="15.75" hidden="false" customHeight="false" outlineLevel="0" collapsed="false">
      <c r="T542" s="244"/>
      <c r="U542" s="244"/>
    </row>
    <row r="543" customFormat="false" ht="15.75" hidden="false" customHeight="false" outlineLevel="0" collapsed="false">
      <c r="T543" s="244"/>
      <c r="U543" s="244"/>
    </row>
    <row r="544" customFormat="false" ht="15.75" hidden="false" customHeight="false" outlineLevel="0" collapsed="false">
      <c r="T544" s="244"/>
      <c r="U544" s="244"/>
    </row>
    <row r="545" customFormat="false" ht="15.75" hidden="false" customHeight="false" outlineLevel="0" collapsed="false">
      <c r="T545" s="244"/>
      <c r="U545" s="244"/>
    </row>
    <row r="546" customFormat="false" ht="15.75" hidden="false" customHeight="false" outlineLevel="0" collapsed="false">
      <c r="T546" s="244"/>
      <c r="U546" s="244"/>
    </row>
    <row r="547" customFormat="false" ht="15.75" hidden="false" customHeight="false" outlineLevel="0" collapsed="false">
      <c r="T547" s="244"/>
      <c r="U547" s="244"/>
    </row>
    <row r="548" customFormat="false" ht="15.75" hidden="false" customHeight="false" outlineLevel="0" collapsed="false">
      <c r="T548" s="244"/>
      <c r="U548" s="244"/>
    </row>
    <row r="549" customFormat="false" ht="15.75" hidden="false" customHeight="false" outlineLevel="0" collapsed="false">
      <c r="T549" s="244"/>
      <c r="U549" s="244"/>
    </row>
    <row r="550" customFormat="false" ht="15.75" hidden="false" customHeight="false" outlineLevel="0" collapsed="false">
      <c r="T550" s="244"/>
      <c r="U550" s="244"/>
    </row>
    <row r="551" customFormat="false" ht="15.75" hidden="false" customHeight="false" outlineLevel="0" collapsed="false">
      <c r="T551" s="244"/>
      <c r="U551" s="244"/>
    </row>
    <row r="552" customFormat="false" ht="15.75" hidden="false" customHeight="false" outlineLevel="0" collapsed="false">
      <c r="T552" s="244"/>
      <c r="U552" s="244"/>
    </row>
    <row r="553" customFormat="false" ht="15.75" hidden="false" customHeight="false" outlineLevel="0" collapsed="false">
      <c r="T553" s="244"/>
      <c r="U553" s="244"/>
    </row>
    <row r="554" customFormat="false" ht="15.75" hidden="false" customHeight="false" outlineLevel="0" collapsed="false">
      <c r="T554" s="244"/>
      <c r="U554" s="244"/>
    </row>
    <row r="555" customFormat="false" ht="15.75" hidden="false" customHeight="false" outlineLevel="0" collapsed="false">
      <c r="T555" s="244"/>
      <c r="U555" s="244"/>
    </row>
    <row r="556" customFormat="false" ht="15.75" hidden="false" customHeight="false" outlineLevel="0" collapsed="false">
      <c r="T556" s="244"/>
      <c r="U556" s="244"/>
    </row>
    <row r="557" customFormat="false" ht="15.75" hidden="false" customHeight="false" outlineLevel="0" collapsed="false">
      <c r="T557" s="244"/>
      <c r="U557" s="244"/>
    </row>
    <row r="558" customFormat="false" ht="15.75" hidden="false" customHeight="false" outlineLevel="0" collapsed="false">
      <c r="T558" s="244"/>
      <c r="U558" s="244"/>
    </row>
    <row r="559" customFormat="false" ht="15.75" hidden="false" customHeight="false" outlineLevel="0" collapsed="false">
      <c r="T559" s="244"/>
      <c r="U559" s="244"/>
    </row>
    <row r="560" customFormat="false" ht="15.75" hidden="false" customHeight="false" outlineLevel="0" collapsed="false">
      <c r="T560" s="244"/>
      <c r="U560" s="244"/>
    </row>
    <row r="561" customFormat="false" ht="15.75" hidden="false" customHeight="false" outlineLevel="0" collapsed="false">
      <c r="T561" s="244"/>
      <c r="U561" s="244"/>
    </row>
    <row r="562" customFormat="false" ht="15.75" hidden="false" customHeight="false" outlineLevel="0" collapsed="false">
      <c r="T562" s="244"/>
      <c r="U562" s="244"/>
    </row>
    <row r="563" customFormat="false" ht="15.75" hidden="false" customHeight="false" outlineLevel="0" collapsed="false">
      <c r="T563" s="244"/>
      <c r="U563" s="244"/>
    </row>
    <row r="564" customFormat="false" ht="15.75" hidden="false" customHeight="false" outlineLevel="0" collapsed="false">
      <c r="T564" s="244"/>
      <c r="U564" s="244"/>
    </row>
    <row r="565" customFormat="false" ht="15.75" hidden="false" customHeight="false" outlineLevel="0" collapsed="false">
      <c r="T565" s="244"/>
      <c r="U565" s="244"/>
    </row>
    <row r="566" customFormat="false" ht="15.75" hidden="false" customHeight="false" outlineLevel="0" collapsed="false">
      <c r="T566" s="244"/>
      <c r="U566" s="244"/>
    </row>
    <row r="567" customFormat="false" ht="15.75" hidden="false" customHeight="false" outlineLevel="0" collapsed="false">
      <c r="T567" s="244"/>
      <c r="U567" s="244"/>
    </row>
    <row r="568" customFormat="false" ht="15.75" hidden="false" customHeight="false" outlineLevel="0" collapsed="false">
      <c r="T568" s="244"/>
      <c r="U568" s="244"/>
    </row>
    <row r="569" customFormat="false" ht="15.75" hidden="false" customHeight="false" outlineLevel="0" collapsed="false">
      <c r="T569" s="244"/>
      <c r="U569" s="244"/>
    </row>
    <row r="570" customFormat="false" ht="15.75" hidden="false" customHeight="false" outlineLevel="0" collapsed="false">
      <c r="T570" s="244"/>
      <c r="U570" s="244"/>
    </row>
    <row r="571" customFormat="false" ht="15.75" hidden="false" customHeight="false" outlineLevel="0" collapsed="false">
      <c r="T571" s="244"/>
      <c r="U571" s="244"/>
    </row>
    <row r="572" customFormat="false" ht="15.75" hidden="false" customHeight="false" outlineLevel="0" collapsed="false">
      <c r="T572" s="244"/>
      <c r="U572" s="244"/>
    </row>
    <row r="573" customFormat="false" ht="15.75" hidden="false" customHeight="false" outlineLevel="0" collapsed="false">
      <c r="T573" s="244"/>
      <c r="U573" s="244"/>
    </row>
    <row r="574" customFormat="false" ht="15.75" hidden="false" customHeight="false" outlineLevel="0" collapsed="false">
      <c r="T574" s="244"/>
      <c r="U574" s="244"/>
    </row>
    <row r="575" customFormat="false" ht="15.75" hidden="false" customHeight="false" outlineLevel="0" collapsed="false">
      <c r="T575" s="244"/>
      <c r="U575" s="244"/>
    </row>
    <row r="576" customFormat="false" ht="15.75" hidden="false" customHeight="false" outlineLevel="0" collapsed="false">
      <c r="T576" s="244"/>
      <c r="U576" s="244"/>
    </row>
    <row r="577" customFormat="false" ht="15.75" hidden="false" customHeight="false" outlineLevel="0" collapsed="false">
      <c r="T577" s="244"/>
      <c r="U577" s="244"/>
    </row>
    <row r="578" customFormat="false" ht="15.75" hidden="false" customHeight="false" outlineLevel="0" collapsed="false">
      <c r="T578" s="244"/>
      <c r="U578" s="244"/>
    </row>
    <row r="579" customFormat="false" ht="15.75" hidden="false" customHeight="false" outlineLevel="0" collapsed="false">
      <c r="T579" s="244"/>
      <c r="U579" s="244"/>
    </row>
    <row r="580" customFormat="false" ht="15.75" hidden="false" customHeight="false" outlineLevel="0" collapsed="false">
      <c r="T580" s="244"/>
      <c r="U580" s="244"/>
    </row>
    <row r="581" customFormat="false" ht="15.75" hidden="false" customHeight="false" outlineLevel="0" collapsed="false">
      <c r="T581" s="244"/>
      <c r="U581" s="244"/>
    </row>
    <row r="582" customFormat="false" ht="15.75" hidden="false" customHeight="false" outlineLevel="0" collapsed="false">
      <c r="T582" s="244"/>
      <c r="U582" s="244"/>
    </row>
    <row r="583" customFormat="false" ht="15.75" hidden="false" customHeight="false" outlineLevel="0" collapsed="false">
      <c r="T583" s="244"/>
      <c r="U583" s="244"/>
    </row>
    <row r="584" customFormat="false" ht="15.75" hidden="false" customHeight="false" outlineLevel="0" collapsed="false">
      <c r="T584" s="244"/>
      <c r="U584" s="244"/>
    </row>
    <row r="585" customFormat="false" ht="15.75" hidden="false" customHeight="false" outlineLevel="0" collapsed="false">
      <c r="T585" s="244"/>
      <c r="U585" s="244"/>
    </row>
    <row r="586" customFormat="false" ht="15.75" hidden="false" customHeight="false" outlineLevel="0" collapsed="false">
      <c r="T586" s="244"/>
      <c r="U586" s="244"/>
    </row>
    <row r="587" customFormat="false" ht="15.75" hidden="false" customHeight="false" outlineLevel="0" collapsed="false">
      <c r="T587" s="244"/>
      <c r="U587" s="244"/>
    </row>
    <row r="588" customFormat="false" ht="15.75" hidden="false" customHeight="false" outlineLevel="0" collapsed="false">
      <c r="T588" s="244"/>
      <c r="U588" s="244"/>
    </row>
    <row r="589" customFormat="false" ht="15.75" hidden="false" customHeight="false" outlineLevel="0" collapsed="false">
      <c r="T589" s="244"/>
      <c r="U589" s="244"/>
    </row>
    <row r="590" customFormat="false" ht="15.75" hidden="false" customHeight="false" outlineLevel="0" collapsed="false">
      <c r="T590" s="244"/>
      <c r="U590" s="244"/>
    </row>
    <row r="591" customFormat="false" ht="15.75" hidden="false" customHeight="false" outlineLevel="0" collapsed="false">
      <c r="T591" s="244"/>
      <c r="U591" s="244"/>
    </row>
    <row r="592" customFormat="false" ht="15.75" hidden="false" customHeight="false" outlineLevel="0" collapsed="false">
      <c r="T592" s="244"/>
      <c r="U592" s="244"/>
    </row>
    <row r="593" customFormat="false" ht="15.75" hidden="false" customHeight="false" outlineLevel="0" collapsed="false">
      <c r="T593" s="244"/>
      <c r="U593" s="244"/>
    </row>
    <row r="594" customFormat="false" ht="15.75" hidden="false" customHeight="false" outlineLevel="0" collapsed="false">
      <c r="T594" s="244"/>
      <c r="U594" s="244"/>
    </row>
    <row r="595" customFormat="false" ht="15.75" hidden="false" customHeight="false" outlineLevel="0" collapsed="false">
      <c r="T595" s="244"/>
      <c r="U595" s="244"/>
    </row>
    <row r="596" customFormat="false" ht="15.75" hidden="false" customHeight="false" outlineLevel="0" collapsed="false">
      <c r="T596" s="244"/>
      <c r="U596" s="244"/>
    </row>
    <row r="597" customFormat="false" ht="15.75" hidden="false" customHeight="false" outlineLevel="0" collapsed="false">
      <c r="T597" s="244"/>
      <c r="U597" s="244"/>
    </row>
    <row r="598" customFormat="false" ht="15.75" hidden="false" customHeight="false" outlineLevel="0" collapsed="false">
      <c r="T598" s="244"/>
      <c r="U598" s="244"/>
    </row>
    <row r="599" customFormat="false" ht="15.75" hidden="false" customHeight="false" outlineLevel="0" collapsed="false">
      <c r="T599" s="244"/>
      <c r="U599" s="244"/>
    </row>
    <row r="600" customFormat="false" ht="15.75" hidden="false" customHeight="false" outlineLevel="0" collapsed="false">
      <c r="T600" s="244"/>
      <c r="U600" s="244"/>
    </row>
    <row r="601" customFormat="false" ht="15.75" hidden="false" customHeight="false" outlineLevel="0" collapsed="false">
      <c r="T601" s="244"/>
      <c r="U601" s="244"/>
    </row>
    <row r="602" customFormat="false" ht="15.75" hidden="false" customHeight="false" outlineLevel="0" collapsed="false">
      <c r="T602" s="244"/>
      <c r="U602" s="244"/>
    </row>
    <row r="603" customFormat="false" ht="15.75" hidden="false" customHeight="false" outlineLevel="0" collapsed="false">
      <c r="T603" s="244"/>
      <c r="U603" s="244"/>
    </row>
    <row r="604" customFormat="false" ht="15.75" hidden="false" customHeight="false" outlineLevel="0" collapsed="false">
      <c r="T604" s="244"/>
      <c r="U604" s="244"/>
    </row>
    <row r="605" customFormat="false" ht="15.75" hidden="false" customHeight="false" outlineLevel="0" collapsed="false">
      <c r="T605" s="244"/>
      <c r="U605" s="244"/>
    </row>
    <row r="606" customFormat="false" ht="15.75" hidden="false" customHeight="false" outlineLevel="0" collapsed="false">
      <c r="T606" s="244"/>
      <c r="U606" s="244"/>
    </row>
    <row r="607" customFormat="false" ht="15.75" hidden="false" customHeight="false" outlineLevel="0" collapsed="false">
      <c r="T607" s="244"/>
      <c r="U607" s="244"/>
    </row>
    <row r="608" customFormat="false" ht="15.75" hidden="false" customHeight="false" outlineLevel="0" collapsed="false">
      <c r="T608" s="244"/>
      <c r="U608" s="244"/>
    </row>
    <row r="609" customFormat="false" ht="15.75" hidden="false" customHeight="false" outlineLevel="0" collapsed="false">
      <c r="T609" s="244"/>
      <c r="U609" s="244"/>
    </row>
    <row r="610" customFormat="false" ht="15.75" hidden="false" customHeight="false" outlineLevel="0" collapsed="false">
      <c r="T610" s="244"/>
      <c r="U610" s="244"/>
    </row>
    <row r="611" customFormat="false" ht="15.75" hidden="false" customHeight="false" outlineLevel="0" collapsed="false">
      <c r="T611" s="244"/>
      <c r="U611" s="244"/>
    </row>
    <row r="612" customFormat="false" ht="15.75" hidden="false" customHeight="false" outlineLevel="0" collapsed="false">
      <c r="T612" s="244"/>
      <c r="U612" s="244"/>
    </row>
    <row r="613" customFormat="false" ht="15.75" hidden="false" customHeight="false" outlineLevel="0" collapsed="false">
      <c r="T613" s="244"/>
      <c r="U613" s="244"/>
    </row>
    <row r="614" customFormat="false" ht="15.75" hidden="false" customHeight="false" outlineLevel="0" collapsed="false">
      <c r="T614" s="244"/>
      <c r="U614" s="244"/>
    </row>
    <row r="615" customFormat="false" ht="15.75" hidden="false" customHeight="false" outlineLevel="0" collapsed="false">
      <c r="T615" s="244"/>
      <c r="U615" s="244"/>
    </row>
    <row r="616" customFormat="false" ht="15.75" hidden="false" customHeight="false" outlineLevel="0" collapsed="false">
      <c r="T616" s="244"/>
      <c r="U616" s="244"/>
    </row>
    <row r="617" customFormat="false" ht="15.75" hidden="false" customHeight="false" outlineLevel="0" collapsed="false">
      <c r="T617" s="244"/>
      <c r="U617" s="244"/>
    </row>
    <row r="618" customFormat="false" ht="15.75" hidden="false" customHeight="false" outlineLevel="0" collapsed="false">
      <c r="T618" s="244"/>
      <c r="U618" s="244"/>
    </row>
    <row r="619" customFormat="false" ht="15.75" hidden="false" customHeight="false" outlineLevel="0" collapsed="false">
      <c r="T619" s="244"/>
      <c r="U619" s="244"/>
    </row>
    <row r="620" customFormat="false" ht="15.75" hidden="false" customHeight="false" outlineLevel="0" collapsed="false">
      <c r="T620" s="244"/>
      <c r="U620" s="244"/>
    </row>
    <row r="621" customFormat="false" ht="15.75" hidden="false" customHeight="false" outlineLevel="0" collapsed="false">
      <c r="T621" s="244"/>
      <c r="U621" s="244"/>
    </row>
    <row r="622" customFormat="false" ht="15.75" hidden="false" customHeight="false" outlineLevel="0" collapsed="false">
      <c r="T622" s="244"/>
      <c r="U622" s="244"/>
    </row>
    <row r="623" customFormat="false" ht="15.75" hidden="false" customHeight="false" outlineLevel="0" collapsed="false">
      <c r="T623" s="244"/>
      <c r="U623" s="244"/>
    </row>
    <row r="624" customFormat="false" ht="15.75" hidden="false" customHeight="false" outlineLevel="0" collapsed="false">
      <c r="T624" s="244"/>
      <c r="U624" s="244"/>
    </row>
    <row r="625" customFormat="false" ht="15.75" hidden="false" customHeight="false" outlineLevel="0" collapsed="false">
      <c r="T625" s="244"/>
      <c r="U625" s="244"/>
    </row>
    <row r="626" customFormat="false" ht="15.75" hidden="false" customHeight="false" outlineLevel="0" collapsed="false">
      <c r="T626" s="244"/>
      <c r="U626" s="244"/>
    </row>
    <row r="627" customFormat="false" ht="15.75" hidden="false" customHeight="false" outlineLevel="0" collapsed="false">
      <c r="T627" s="244"/>
      <c r="U627" s="244"/>
    </row>
    <row r="628" customFormat="false" ht="15.75" hidden="false" customHeight="false" outlineLevel="0" collapsed="false">
      <c r="T628" s="244"/>
      <c r="U628" s="244"/>
    </row>
    <row r="629" customFormat="false" ht="15.75" hidden="false" customHeight="false" outlineLevel="0" collapsed="false">
      <c r="T629" s="244"/>
      <c r="U629" s="244"/>
    </row>
    <row r="630" customFormat="false" ht="15.75" hidden="false" customHeight="false" outlineLevel="0" collapsed="false">
      <c r="T630" s="244"/>
      <c r="U630" s="244"/>
    </row>
    <row r="631" customFormat="false" ht="15.75" hidden="false" customHeight="false" outlineLevel="0" collapsed="false">
      <c r="T631" s="244"/>
      <c r="U631" s="244"/>
    </row>
    <row r="632" customFormat="false" ht="15.75" hidden="false" customHeight="false" outlineLevel="0" collapsed="false">
      <c r="T632" s="244"/>
      <c r="U632" s="244"/>
    </row>
    <row r="633" customFormat="false" ht="15.75" hidden="false" customHeight="false" outlineLevel="0" collapsed="false">
      <c r="T633" s="244"/>
      <c r="U633" s="244"/>
    </row>
    <row r="634" customFormat="false" ht="15.75" hidden="false" customHeight="false" outlineLevel="0" collapsed="false">
      <c r="T634" s="244"/>
      <c r="U634" s="244"/>
    </row>
    <row r="635" customFormat="false" ht="15.75" hidden="false" customHeight="false" outlineLevel="0" collapsed="false">
      <c r="T635" s="244"/>
      <c r="U635" s="244"/>
    </row>
    <row r="636" customFormat="false" ht="15.75" hidden="false" customHeight="false" outlineLevel="0" collapsed="false">
      <c r="T636" s="244"/>
      <c r="U636" s="244"/>
    </row>
    <row r="637" customFormat="false" ht="15.75" hidden="false" customHeight="false" outlineLevel="0" collapsed="false">
      <c r="T637" s="244"/>
      <c r="U637" s="244"/>
    </row>
    <row r="638" customFormat="false" ht="15.75" hidden="false" customHeight="false" outlineLevel="0" collapsed="false">
      <c r="T638" s="244"/>
      <c r="U638" s="244"/>
    </row>
    <row r="639" customFormat="false" ht="15.75" hidden="false" customHeight="false" outlineLevel="0" collapsed="false">
      <c r="T639" s="244"/>
      <c r="U639" s="244"/>
    </row>
    <row r="640" customFormat="false" ht="15.75" hidden="false" customHeight="false" outlineLevel="0" collapsed="false">
      <c r="T640" s="244"/>
      <c r="U640" s="244"/>
    </row>
    <row r="641" customFormat="false" ht="15.75" hidden="false" customHeight="false" outlineLevel="0" collapsed="false">
      <c r="T641" s="244"/>
      <c r="U641" s="244"/>
    </row>
    <row r="642" customFormat="false" ht="15.75" hidden="false" customHeight="false" outlineLevel="0" collapsed="false">
      <c r="T642" s="244"/>
      <c r="U642" s="244"/>
    </row>
    <row r="643" customFormat="false" ht="15.75" hidden="false" customHeight="false" outlineLevel="0" collapsed="false">
      <c r="T643" s="244"/>
      <c r="U643" s="244"/>
    </row>
    <row r="644" customFormat="false" ht="15.75" hidden="false" customHeight="false" outlineLevel="0" collapsed="false">
      <c r="T644" s="244"/>
      <c r="U644" s="244"/>
    </row>
    <row r="645" customFormat="false" ht="15.75" hidden="false" customHeight="false" outlineLevel="0" collapsed="false">
      <c r="T645" s="244"/>
      <c r="U645" s="244"/>
    </row>
    <row r="646" customFormat="false" ht="15.75" hidden="false" customHeight="false" outlineLevel="0" collapsed="false">
      <c r="T646" s="244"/>
      <c r="U646" s="244"/>
    </row>
    <row r="647" customFormat="false" ht="15.75" hidden="false" customHeight="false" outlineLevel="0" collapsed="false">
      <c r="T647" s="244"/>
      <c r="U647" s="244"/>
    </row>
    <row r="648" customFormat="false" ht="15.75" hidden="false" customHeight="false" outlineLevel="0" collapsed="false">
      <c r="T648" s="244"/>
      <c r="U648" s="244"/>
    </row>
    <row r="649" customFormat="false" ht="15.75" hidden="false" customHeight="false" outlineLevel="0" collapsed="false">
      <c r="T649" s="244"/>
      <c r="U649" s="244"/>
    </row>
    <row r="650" customFormat="false" ht="15.75" hidden="false" customHeight="false" outlineLevel="0" collapsed="false">
      <c r="T650" s="244"/>
      <c r="U650" s="244"/>
    </row>
    <row r="651" customFormat="false" ht="15.75" hidden="false" customHeight="false" outlineLevel="0" collapsed="false">
      <c r="T651" s="244"/>
      <c r="U651" s="244"/>
    </row>
    <row r="652" customFormat="false" ht="15.75" hidden="false" customHeight="false" outlineLevel="0" collapsed="false">
      <c r="T652" s="244"/>
      <c r="U652" s="244"/>
    </row>
    <row r="653" customFormat="false" ht="15.75" hidden="false" customHeight="false" outlineLevel="0" collapsed="false">
      <c r="T653" s="244"/>
      <c r="U653" s="244"/>
    </row>
    <row r="654" customFormat="false" ht="15.75" hidden="false" customHeight="false" outlineLevel="0" collapsed="false">
      <c r="T654" s="244"/>
      <c r="U654" s="244"/>
    </row>
    <row r="655" customFormat="false" ht="15.75" hidden="false" customHeight="false" outlineLevel="0" collapsed="false">
      <c r="T655" s="244"/>
      <c r="U655" s="244"/>
    </row>
    <row r="656" customFormat="false" ht="15.75" hidden="false" customHeight="false" outlineLevel="0" collapsed="false">
      <c r="T656" s="244"/>
      <c r="U656" s="244"/>
    </row>
    <row r="657" customFormat="false" ht="15.75" hidden="false" customHeight="false" outlineLevel="0" collapsed="false">
      <c r="T657" s="244"/>
      <c r="U657" s="244"/>
    </row>
    <row r="658" customFormat="false" ht="15.75" hidden="false" customHeight="false" outlineLevel="0" collapsed="false">
      <c r="T658" s="244"/>
      <c r="U658" s="244"/>
    </row>
    <row r="659" customFormat="false" ht="15.75" hidden="false" customHeight="false" outlineLevel="0" collapsed="false">
      <c r="T659" s="244"/>
      <c r="U659" s="244"/>
    </row>
    <row r="660" customFormat="false" ht="15.75" hidden="false" customHeight="false" outlineLevel="0" collapsed="false">
      <c r="T660" s="244"/>
      <c r="U660" s="244"/>
    </row>
    <row r="661" customFormat="false" ht="15.75" hidden="false" customHeight="false" outlineLevel="0" collapsed="false">
      <c r="T661" s="244"/>
      <c r="U661" s="244"/>
    </row>
    <row r="662" customFormat="false" ht="15.75" hidden="false" customHeight="false" outlineLevel="0" collapsed="false">
      <c r="T662" s="244"/>
      <c r="U662" s="244"/>
    </row>
    <row r="663" customFormat="false" ht="15.75" hidden="false" customHeight="false" outlineLevel="0" collapsed="false">
      <c r="T663" s="244"/>
      <c r="U663" s="244"/>
    </row>
    <row r="664" customFormat="false" ht="15.75" hidden="false" customHeight="false" outlineLevel="0" collapsed="false">
      <c r="T664" s="244"/>
      <c r="U664" s="244"/>
    </row>
    <row r="665" customFormat="false" ht="15.75" hidden="false" customHeight="false" outlineLevel="0" collapsed="false">
      <c r="T665" s="244"/>
      <c r="U665" s="244"/>
    </row>
    <row r="666" customFormat="false" ht="15.75" hidden="false" customHeight="false" outlineLevel="0" collapsed="false">
      <c r="T666" s="244"/>
      <c r="U666" s="244"/>
    </row>
    <row r="667" customFormat="false" ht="15.75" hidden="false" customHeight="false" outlineLevel="0" collapsed="false">
      <c r="T667" s="244"/>
      <c r="U667" s="244"/>
    </row>
    <row r="668" customFormat="false" ht="15.75" hidden="false" customHeight="false" outlineLevel="0" collapsed="false">
      <c r="T668" s="244"/>
      <c r="U668" s="244"/>
    </row>
    <row r="669" customFormat="false" ht="15.75" hidden="false" customHeight="false" outlineLevel="0" collapsed="false">
      <c r="T669" s="244"/>
      <c r="U669" s="244"/>
    </row>
    <row r="670" customFormat="false" ht="15.75" hidden="false" customHeight="false" outlineLevel="0" collapsed="false">
      <c r="T670" s="244"/>
      <c r="U670" s="244"/>
    </row>
    <row r="671" customFormat="false" ht="15.75" hidden="false" customHeight="false" outlineLevel="0" collapsed="false">
      <c r="T671" s="244"/>
      <c r="U671" s="244"/>
    </row>
    <row r="672" customFormat="false" ht="15.75" hidden="false" customHeight="false" outlineLevel="0" collapsed="false">
      <c r="T672" s="244"/>
      <c r="U672" s="244"/>
    </row>
    <row r="673" customFormat="false" ht="15.75" hidden="false" customHeight="false" outlineLevel="0" collapsed="false">
      <c r="T673" s="244"/>
      <c r="U673" s="244"/>
    </row>
    <row r="674" customFormat="false" ht="15.75" hidden="false" customHeight="false" outlineLevel="0" collapsed="false">
      <c r="T674" s="244"/>
      <c r="U674" s="244"/>
    </row>
    <row r="675" customFormat="false" ht="15.75" hidden="false" customHeight="false" outlineLevel="0" collapsed="false">
      <c r="T675" s="244"/>
      <c r="U675" s="244"/>
    </row>
    <row r="676" customFormat="false" ht="15.75" hidden="false" customHeight="false" outlineLevel="0" collapsed="false">
      <c r="T676" s="244"/>
      <c r="U676" s="244"/>
    </row>
    <row r="677" customFormat="false" ht="15.75" hidden="false" customHeight="false" outlineLevel="0" collapsed="false">
      <c r="T677" s="244"/>
      <c r="U677" s="244"/>
    </row>
    <row r="678" customFormat="false" ht="15.75" hidden="false" customHeight="false" outlineLevel="0" collapsed="false">
      <c r="T678" s="244"/>
      <c r="U678" s="244"/>
    </row>
    <row r="679" customFormat="false" ht="15.75" hidden="false" customHeight="false" outlineLevel="0" collapsed="false">
      <c r="T679" s="244"/>
      <c r="U679" s="244"/>
    </row>
    <row r="680" customFormat="false" ht="15.75" hidden="false" customHeight="false" outlineLevel="0" collapsed="false">
      <c r="T680" s="244"/>
      <c r="U680" s="244"/>
    </row>
    <row r="681" customFormat="false" ht="15.75" hidden="false" customHeight="false" outlineLevel="0" collapsed="false">
      <c r="T681" s="244"/>
      <c r="U681" s="244"/>
    </row>
    <row r="682" customFormat="false" ht="15.75" hidden="false" customHeight="false" outlineLevel="0" collapsed="false">
      <c r="T682" s="244"/>
      <c r="U682" s="244"/>
    </row>
    <row r="683" customFormat="false" ht="15.75" hidden="false" customHeight="false" outlineLevel="0" collapsed="false">
      <c r="T683" s="244"/>
      <c r="U683" s="244"/>
    </row>
    <row r="684" customFormat="false" ht="15.75" hidden="false" customHeight="false" outlineLevel="0" collapsed="false">
      <c r="T684" s="244"/>
      <c r="U684" s="244"/>
    </row>
    <row r="685" customFormat="false" ht="15.75" hidden="false" customHeight="false" outlineLevel="0" collapsed="false">
      <c r="T685" s="244"/>
      <c r="U685" s="244"/>
    </row>
    <row r="686" customFormat="false" ht="15.75" hidden="false" customHeight="false" outlineLevel="0" collapsed="false">
      <c r="T686" s="244"/>
      <c r="U686" s="244"/>
    </row>
    <row r="687" customFormat="false" ht="15.75" hidden="false" customHeight="false" outlineLevel="0" collapsed="false">
      <c r="T687" s="244"/>
      <c r="U687" s="244"/>
    </row>
    <row r="688" customFormat="false" ht="15.75" hidden="false" customHeight="false" outlineLevel="0" collapsed="false">
      <c r="T688" s="244"/>
      <c r="U688" s="244"/>
    </row>
    <row r="689" customFormat="false" ht="15.75" hidden="false" customHeight="false" outlineLevel="0" collapsed="false">
      <c r="T689" s="244"/>
      <c r="U689" s="244"/>
    </row>
    <row r="690" customFormat="false" ht="15.75" hidden="false" customHeight="false" outlineLevel="0" collapsed="false">
      <c r="T690" s="244"/>
      <c r="U690" s="244"/>
    </row>
    <row r="691" customFormat="false" ht="15.75" hidden="false" customHeight="false" outlineLevel="0" collapsed="false">
      <c r="T691" s="244"/>
      <c r="U691" s="244"/>
    </row>
    <row r="692" customFormat="false" ht="15.75" hidden="false" customHeight="false" outlineLevel="0" collapsed="false">
      <c r="T692" s="244"/>
      <c r="U692" s="244"/>
    </row>
    <row r="693" customFormat="false" ht="15.75" hidden="false" customHeight="false" outlineLevel="0" collapsed="false">
      <c r="T693" s="244"/>
      <c r="U693" s="244"/>
    </row>
    <row r="694" customFormat="false" ht="15.75" hidden="false" customHeight="false" outlineLevel="0" collapsed="false">
      <c r="T694" s="244"/>
      <c r="U694" s="244"/>
    </row>
    <row r="695" customFormat="false" ht="15.75" hidden="false" customHeight="false" outlineLevel="0" collapsed="false">
      <c r="T695" s="244"/>
      <c r="U695" s="244"/>
    </row>
    <row r="696" customFormat="false" ht="15.75" hidden="false" customHeight="false" outlineLevel="0" collapsed="false">
      <c r="T696" s="244"/>
      <c r="U696" s="244"/>
    </row>
    <row r="697" customFormat="false" ht="15.75" hidden="false" customHeight="false" outlineLevel="0" collapsed="false">
      <c r="T697" s="244"/>
      <c r="U697" s="244"/>
    </row>
    <row r="698" customFormat="false" ht="15.75" hidden="false" customHeight="false" outlineLevel="0" collapsed="false">
      <c r="T698" s="244"/>
      <c r="U698" s="244"/>
    </row>
    <row r="699" customFormat="false" ht="15.75" hidden="false" customHeight="false" outlineLevel="0" collapsed="false">
      <c r="T699" s="244"/>
      <c r="U699" s="244"/>
    </row>
    <row r="700" customFormat="false" ht="15.75" hidden="false" customHeight="false" outlineLevel="0" collapsed="false">
      <c r="T700" s="244"/>
      <c r="U700" s="244"/>
    </row>
    <row r="701" customFormat="false" ht="15.75" hidden="false" customHeight="false" outlineLevel="0" collapsed="false">
      <c r="T701" s="244"/>
      <c r="U701" s="244"/>
    </row>
    <row r="702" customFormat="false" ht="15.75" hidden="false" customHeight="false" outlineLevel="0" collapsed="false">
      <c r="T702" s="244"/>
      <c r="U702" s="244"/>
    </row>
    <row r="703" customFormat="false" ht="15.75" hidden="false" customHeight="false" outlineLevel="0" collapsed="false">
      <c r="T703" s="244"/>
      <c r="U703" s="244"/>
    </row>
    <row r="704" customFormat="false" ht="15.75" hidden="false" customHeight="false" outlineLevel="0" collapsed="false">
      <c r="T704" s="244"/>
      <c r="U704" s="244"/>
    </row>
    <row r="705" customFormat="false" ht="15.75" hidden="false" customHeight="false" outlineLevel="0" collapsed="false">
      <c r="T705" s="244"/>
      <c r="U705" s="244"/>
    </row>
    <row r="706" customFormat="false" ht="15.75" hidden="false" customHeight="false" outlineLevel="0" collapsed="false">
      <c r="T706" s="244"/>
      <c r="U706" s="244"/>
    </row>
    <row r="707" customFormat="false" ht="15.75" hidden="false" customHeight="false" outlineLevel="0" collapsed="false">
      <c r="T707" s="244"/>
      <c r="U707" s="244"/>
    </row>
    <row r="708" customFormat="false" ht="15.75" hidden="false" customHeight="false" outlineLevel="0" collapsed="false">
      <c r="T708" s="244"/>
      <c r="U708" s="244"/>
    </row>
    <row r="709" customFormat="false" ht="15.75" hidden="false" customHeight="false" outlineLevel="0" collapsed="false">
      <c r="T709" s="244"/>
      <c r="U709" s="244"/>
    </row>
    <row r="710" customFormat="false" ht="15.75" hidden="false" customHeight="false" outlineLevel="0" collapsed="false">
      <c r="T710" s="244"/>
      <c r="U710" s="244"/>
    </row>
    <row r="711" customFormat="false" ht="15.75" hidden="false" customHeight="false" outlineLevel="0" collapsed="false">
      <c r="T711" s="244"/>
      <c r="U711" s="244"/>
    </row>
    <row r="712" customFormat="false" ht="15.75" hidden="false" customHeight="false" outlineLevel="0" collapsed="false">
      <c r="T712" s="244"/>
      <c r="U712" s="244"/>
    </row>
    <row r="713" customFormat="false" ht="15.75" hidden="false" customHeight="false" outlineLevel="0" collapsed="false">
      <c r="T713" s="244"/>
      <c r="U713" s="244"/>
    </row>
    <row r="714" customFormat="false" ht="15.75" hidden="false" customHeight="false" outlineLevel="0" collapsed="false">
      <c r="T714" s="244"/>
      <c r="U714" s="244"/>
    </row>
    <row r="715" customFormat="false" ht="15.75" hidden="false" customHeight="false" outlineLevel="0" collapsed="false">
      <c r="T715" s="244"/>
      <c r="U715" s="244"/>
    </row>
    <row r="716" customFormat="false" ht="15.75" hidden="false" customHeight="false" outlineLevel="0" collapsed="false">
      <c r="T716" s="244"/>
      <c r="U716" s="244"/>
    </row>
    <row r="717" customFormat="false" ht="15.75" hidden="false" customHeight="false" outlineLevel="0" collapsed="false">
      <c r="T717" s="244"/>
      <c r="U717" s="244"/>
    </row>
    <row r="718" customFormat="false" ht="15.75" hidden="false" customHeight="false" outlineLevel="0" collapsed="false">
      <c r="T718" s="244"/>
      <c r="U718" s="244"/>
    </row>
    <row r="719" customFormat="false" ht="15.75" hidden="false" customHeight="false" outlineLevel="0" collapsed="false">
      <c r="T719" s="244"/>
      <c r="U719" s="244"/>
    </row>
    <row r="720" customFormat="false" ht="15.75" hidden="false" customHeight="false" outlineLevel="0" collapsed="false">
      <c r="T720" s="244"/>
      <c r="U720" s="244"/>
    </row>
    <row r="721" customFormat="false" ht="15.75" hidden="false" customHeight="false" outlineLevel="0" collapsed="false">
      <c r="T721" s="244"/>
      <c r="U721" s="244"/>
    </row>
    <row r="722" customFormat="false" ht="15.75" hidden="false" customHeight="false" outlineLevel="0" collapsed="false">
      <c r="T722" s="244"/>
      <c r="U722" s="244"/>
    </row>
    <row r="723" customFormat="false" ht="15.75" hidden="false" customHeight="false" outlineLevel="0" collapsed="false">
      <c r="T723" s="244"/>
      <c r="U723" s="244"/>
    </row>
    <row r="724" customFormat="false" ht="15.75" hidden="false" customHeight="false" outlineLevel="0" collapsed="false">
      <c r="T724" s="244"/>
      <c r="U724" s="244"/>
    </row>
    <row r="725" customFormat="false" ht="15.75" hidden="false" customHeight="false" outlineLevel="0" collapsed="false">
      <c r="T725" s="244"/>
      <c r="U725" s="244"/>
    </row>
    <row r="726" customFormat="false" ht="15.75" hidden="false" customHeight="false" outlineLevel="0" collapsed="false">
      <c r="T726" s="244"/>
      <c r="U726" s="244"/>
    </row>
    <row r="727" customFormat="false" ht="15.75" hidden="false" customHeight="false" outlineLevel="0" collapsed="false">
      <c r="T727" s="244"/>
      <c r="U727" s="244"/>
    </row>
    <row r="728" customFormat="false" ht="15.75" hidden="false" customHeight="false" outlineLevel="0" collapsed="false">
      <c r="T728" s="244"/>
      <c r="U728" s="244"/>
    </row>
    <row r="729" customFormat="false" ht="15.75" hidden="false" customHeight="false" outlineLevel="0" collapsed="false">
      <c r="T729" s="244"/>
      <c r="U729" s="244"/>
    </row>
    <row r="730" customFormat="false" ht="15.75" hidden="false" customHeight="false" outlineLevel="0" collapsed="false">
      <c r="T730" s="244"/>
      <c r="U730" s="244"/>
    </row>
    <row r="731" customFormat="false" ht="15.75" hidden="false" customHeight="false" outlineLevel="0" collapsed="false">
      <c r="T731" s="244"/>
      <c r="U731" s="244"/>
    </row>
    <row r="732" customFormat="false" ht="15.75" hidden="false" customHeight="false" outlineLevel="0" collapsed="false">
      <c r="T732" s="244"/>
      <c r="U732" s="244"/>
    </row>
    <row r="733" customFormat="false" ht="15.75" hidden="false" customHeight="false" outlineLevel="0" collapsed="false">
      <c r="T733" s="244"/>
      <c r="U733" s="244"/>
    </row>
    <row r="734" customFormat="false" ht="15.75" hidden="false" customHeight="false" outlineLevel="0" collapsed="false">
      <c r="T734" s="244"/>
      <c r="U734" s="244"/>
    </row>
    <row r="735" customFormat="false" ht="15.75" hidden="false" customHeight="false" outlineLevel="0" collapsed="false">
      <c r="T735" s="244"/>
      <c r="U735" s="244"/>
    </row>
    <row r="736" customFormat="false" ht="15.75" hidden="false" customHeight="false" outlineLevel="0" collapsed="false">
      <c r="T736" s="244"/>
      <c r="U736" s="244"/>
    </row>
    <row r="737" customFormat="false" ht="15.75" hidden="false" customHeight="false" outlineLevel="0" collapsed="false">
      <c r="T737" s="244"/>
      <c r="U737" s="244"/>
    </row>
    <row r="738" customFormat="false" ht="15.75" hidden="false" customHeight="false" outlineLevel="0" collapsed="false">
      <c r="T738" s="244"/>
      <c r="U738" s="244"/>
    </row>
    <row r="739" customFormat="false" ht="15.75" hidden="false" customHeight="false" outlineLevel="0" collapsed="false">
      <c r="T739" s="244"/>
      <c r="U739" s="244"/>
    </row>
    <row r="740" customFormat="false" ht="15.75" hidden="false" customHeight="false" outlineLevel="0" collapsed="false">
      <c r="T740" s="244"/>
      <c r="U740" s="244"/>
    </row>
    <row r="741" customFormat="false" ht="15.75" hidden="false" customHeight="false" outlineLevel="0" collapsed="false">
      <c r="T741" s="244"/>
      <c r="U741" s="244"/>
    </row>
    <row r="742" customFormat="false" ht="15.75" hidden="false" customHeight="false" outlineLevel="0" collapsed="false">
      <c r="T742" s="244"/>
      <c r="U742" s="244"/>
    </row>
    <row r="743" customFormat="false" ht="15.75" hidden="false" customHeight="false" outlineLevel="0" collapsed="false">
      <c r="T743" s="244"/>
      <c r="U743" s="244"/>
    </row>
    <row r="744" customFormat="false" ht="15.75" hidden="false" customHeight="false" outlineLevel="0" collapsed="false">
      <c r="T744" s="244"/>
      <c r="U744" s="244"/>
    </row>
    <row r="745" customFormat="false" ht="15.75" hidden="false" customHeight="false" outlineLevel="0" collapsed="false">
      <c r="T745" s="244"/>
      <c r="U745" s="244"/>
    </row>
    <row r="746" customFormat="false" ht="15.75" hidden="false" customHeight="false" outlineLevel="0" collapsed="false">
      <c r="T746" s="244"/>
      <c r="U746" s="244"/>
    </row>
    <row r="747" customFormat="false" ht="15.75" hidden="false" customHeight="false" outlineLevel="0" collapsed="false">
      <c r="T747" s="244"/>
      <c r="U747" s="244"/>
    </row>
    <row r="748" customFormat="false" ht="15.75" hidden="false" customHeight="false" outlineLevel="0" collapsed="false">
      <c r="T748" s="244"/>
      <c r="U748" s="244"/>
    </row>
    <row r="749" customFormat="false" ht="15.75" hidden="false" customHeight="false" outlineLevel="0" collapsed="false">
      <c r="T749" s="244"/>
      <c r="U749" s="244"/>
    </row>
    <row r="750" customFormat="false" ht="15.75" hidden="false" customHeight="false" outlineLevel="0" collapsed="false">
      <c r="T750" s="244"/>
      <c r="U750" s="244"/>
    </row>
    <row r="751" customFormat="false" ht="15.75" hidden="false" customHeight="false" outlineLevel="0" collapsed="false">
      <c r="T751" s="244"/>
      <c r="U751" s="244"/>
    </row>
    <row r="752" customFormat="false" ht="15.75" hidden="false" customHeight="false" outlineLevel="0" collapsed="false">
      <c r="T752" s="244"/>
      <c r="U752" s="244"/>
    </row>
    <row r="753" customFormat="false" ht="15.75" hidden="false" customHeight="false" outlineLevel="0" collapsed="false">
      <c r="T753" s="244"/>
      <c r="U753" s="244"/>
    </row>
    <row r="754" customFormat="false" ht="15.75" hidden="false" customHeight="false" outlineLevel="0" collapsed="false">
      <c r="T754" s="244"/>
      <c r="U754" s="244"/>
    </row>
    <row r="755" customFormat="false" ht="15.75" hidden="false" customHeight="false" outlineLevel="0" collapsed="false">
      <c r="T755" s="244"/>
      <c r="U755" s="244"/>
    </row>
    <row r="756" customFormat="false" ht="15.75" hidden="false" customHeight="false" outlineLevel="0" collapsed="false">
      <c r="T756" s="244"/>
      <c r="U756" s="244"/>
    </row>
    <row r="757" customFormat="false" ht="15.75" hidden="false" customHeight="false" outlineLevel="0" collapsed="false">
      <c r="T757" s="244"/>
      <c r="U757" s="244"/>
    </row>
    <row r="758" customFormat="false" ht="15.75" hidden="false" customHeight="false" outlineLevel="0" collapsed="false">
      <c r="T758" s="244"/>
      <c r="U758" s="244"/>
    </row>
    <row r="759" customFormat="false" ht="15.75" hidden="false" customHeight="false" outlineLevel="0" collapsed="false">
      <c r="T759" s="244"/>
      <c r="U759" s="244"/>
    </row>
    <row r="760" customFormat="false" ht="15.75" hidden="false" customHeight="false" outlineLevel="0" collapsed="false">
      <c r="T760" s="244"/>
      <c r="U760" s="244"/>
    </row>
    <row r="761" customFormat="false" ht="15.75" hidden="false" customHeight="false" outlineLevel="0" collapsed="false">
      <c r="T761" s="244"/>
      <c r="U761" s="244"/>
    </row>
    <row r="762" customFormat="false" ht="15.75" hidden="false" customHeight="false" outlineLevel="0" collapsed="false">
      <c r="T762" s="244"/>
      <c r="U762" s="244"/>
    </row>
    <row r="763" customFormat="false" ht="15.75" hidden="false" customHeight="false" outlineLevel="0" collapsed="false">
      <c r="T763" s="244"/>
      <c r="U763" s="244"/>
    </row>
    <row r="764" customFormat="false" ht="15.75" hidden="false" customHeight="false" outlineLevel="0" collapsed="false">
      <c r="T764" s="244"/>
      <c r="U764" s="244"/>
    </row>
    <row r="765" customFormat="false" ht="15.75" hidden="false" customHeight="false" outlineLevel="0" collapsed="false">
      <c r="T765" s="244"/>
      <c r="U765" s="244"/>
    </row>
    <row r="766" customFormat="false" ht="15.75" hidden="false" customHeight="false" outlineLevel="0" collapsed="false">
      <c r="T766" s="244"/>
      <c r="U766" s="244"/>
    </row>
    <row r="767" customFormat="false" ht="15.75" hidden="false" customHeight="false" outlineLevel="0" collapsed="false">
      <c r="T767" s="244"/>
      <c r="U767" s="244"/>
    </row>
    <row r="768" customFormat="false" ht="15.75" hidden="false" customHeight="false" outlineLevel="0" collapsed="false">
      <c r="T768" s="244"/>
      <c r="U768" s="244"/>
    </row>
    <row r="769" customFormat="false" ht="15.75" hidden="false" customHeight="false" outlineLevel="0" collapsed="false">
      <c r="T769" s="244"/>
      <c r="U769" s="244"/>
    </row>
    <row r="770" customFormat="false" ht="15.75" hidden="false" customHeight="false" outlineLevel="0" collapsed="false">
      <c r="T770" s="244"/>
      <c r="U770" s="244"/>
    </row>
    <row r="771" customFormat="false" ht="15.75" hidden="false" customHeight="false" outlineLevel="0" collapsed="false">
      <c r="T771" s="244"/>
      <c r="U771" s="244"/>
    </row>
    <row r="772" customFormat="false" ht="15.75" hidden="false" customHeight="false" outlineLevel="0" collapsed="false">
      <c r="T772" s="244"/>
      <c r="U772" s="244"/>
    </row>
    <row r="773" customFormat="false" ht="15.75" hidden="false" customHeight="false" outlineLevel="0" collapsed="false">
      <c r="T773" s="244"/>
      <c r="U773" s="244"/>
    </row>
    <row r="774" customFormat="false" ht="15.75" hidden="false" customHeight="false" outlineLevel="0" collapsed="false">
      <c r="T774" s="244"/>
      <c r="U774" s="244"/>
    </row>
    <row r="775" customFormat="false" ht="15.75" hidden="false" customHeight="false" outlineLevel="0" collapsed="false">
      <c r="T775" s="244"/>
      <c r="U775" s="244"/>
    </row>
    <row r="776" customFormat="false" ht="15.75" hidden="false" customHeight="false" outlineLevel="0" collapsed="false">
      <c r="T776" s="244"/>
      <c r="U776" s="244"/>
    </row>
    <row r="777" customFormat="false" ht="15.75" hidden="false" customHeight="false" outlineLevel="0" collapsed="false">
      <c r="T777" s="244"/>
      <c r="U777" s="244"/>
    </row>
    <row r="778" customFormat="false" ht="15.75" hidden="false" customHeight="false" outlineLevel="0" collapsed="false">
      <c r="T778" s="244"/>
      <c r="U778" s="244"/>
    </row>
    <row r="779" customFormat="false" ht="15.75" hidden="false" customHeight="false" outlineLevel="0" collapsed="false">
      <c r="T779" s="244"/>
      <c r="U779" s="244"/>
    </row>
    <row r="780" customFormat="false" ht="15.75" hidden="false" customHeight="false" outlineLevel="0" collapsed="false">
      <c r="T780" s="244"/>
      <c r="U780" s="244"/>
    </row>
    <row r="781" customFormat="false" ht="15.75" hidden="false" customHeight="false" outlineLevel="0" collapsed="false">
      <c r="T781" s="244"/>
      <c r="U781" s="244"/>
    </row>
    <row r="782" customFormat="false" ht="15.75" hidden="false" customHeight="false" outlineLevel="0" collapsed="false">
      <c r="T782" s="244"/>
      <c r="U782" s="244"/>
    </row>
    <row r="783" customFormat="false" ht="15.75" hidden="false" customHeight="false" outlineLevel="0" collapsed="false">
      <c r="T783" s="244"/>
      <c r="U783" s="244"/>
    </row>
    <row r="784" customFormat="false" ht="15.75" hidden="false" customHeight="false" outlineLevel="0" collapsed="false">
      <c r="T784" s="244"/>
      <c r="U784" s="244"/>
    </row>
    <row r="785" customFormat="false" ht="15.75" hidden="false" customHeight="false" outlineLevel="0" collapsed="false">
      <c r="T785" s="244"/>
      <c r="U785" s="244"/>
    </row>
    <row r="786" customFormat="false" ht="15.75" hidden="false" customHeight="false" outlineLevel="0" collapsed="false">
      <c r="T786" s="244"/>
      <c r="U786" s="244"/>
    </row>
    <row r="787" customFormat="false" ht="15.75" hidden="false" customHeight="false" outlineLevel="0" collapsed="false">
      <c r="T787" s="244"/>
      <c r="U787" s="244"/>
    </row>
    <row r="788" customFormat="false" ht="15.75" hidden="false" customHeight="false" outlineLevel="0" collapsed="false">
      <c r="T788" s="244"/>
      <c r="U788" s="244"/>
    </row>
    <row r="789" customFormat="false" ht="15.75" hidden="false" customHeight="false" outlineLevel="0" collapsed="false">
      <c r="T789" s="244"/>
      <c r="U789" s="244"/>
    </row>
    <row r="790" customFormat="false" ht="15.75" hidden="false" customHeight="false" outlineLevel="0" collapsed="false">
      <c r="T790" s="244"/>
      <c r="U790" s="244"/>
    </row>
    <row r="791" customFormat="false" ht="15.75" hidden="false" customHeight="false" outlineLevel="0" collapsed="false">
      <c r="T791" s="244"/>
      <c r="U791" s="244"/>
    </row>
    <row r="792" customFormat="false" ht="15.75" hidden="false" customHeight="false" outlineLevel="0" collapsed="false">
      <c r="T792" s="244"/>
      <c r="U792" s="244"/>
    </row>
    <row r="793" customFormat="false" ht="15.75" hidden="false" customHeight="false" outlineLevel="0" collapsed="false">
      <c r="T793" s="244"/>
      <c r="U793" s="244"/>
    </row>
    <row r="794" customFormat="false" ht="15.75" hidden="false" customHeight="false" outlineLevel="0" collapsed="false">
      <c r="T794" s="244"/>
      <c r="U794" s="244"/>
    </row>
    <row r="795" customFormat="false" ht="15.75" hidden="false" customHeight="false" outlineLevel="0" collapsed="false">
      <c r="T795" s="244"/>
      <c r="U795" s="244"/>
    </row>
    <row r="796" customFormat="false" ht="15.75" hidden="false" customHeight="false" outlineLevel="0" collapsed="false">
      <c r="T796" s="244"/>
      <c r="U796" s="244"/>
    </row>
    <row r="797" customFormat="false" ht="15.75" hidden="false" customHeight="false" outlineLevel="0" collapsed="false">
      <c r="T797" s="244"/>
      <c r="U797" s="244"/>
    </row>
    <row r="798" customFormat="false" ht="15.75" hidden="false" customHeight="false" outlineLevel="0" collapsed="false">
      <c r="T798" s="244"/>
      <c r="U798" s="244"/>
    </row>
    <row r="799" customFormat="false" ht="15.75" hidden="false" customHeight="false" outlineLevel="0" collapsed="false">
      <c r="T799" s="244"/>
      <c r="U799" s="244"/>
    </row>
    <row r="800" customFormat="false" ht="15.75" hidden="false" customHeight="false" outlineLevel="0" collapsed="false">
      <c r="T800" s="244"/>
      <c r="U800" s="244"/>
    </row>
    <row r="801" customFormat="false" ht="15.75" hidden="false" customHeight="false" outlineLevel="0" collapsed="false">
      <c r="T801" s="244"/>
      <c r="U801" s="244"/>
    </row>
    <row r="802" customFormat="false" ht="15.75" hidden="false" customHeight="false" outlineLevel="0" collapsed="false">
      <c r="T802" s="244"/>
      <c r="U802" s="244"/>
    </row>
    <row r="803" customFormat="false" ht="15.75" hidden="false" customHeight="false" outlineLevel="0" collapsed="false">
      <c r="T803" s="244"/>
      <c r="U803" s="244"/>
    </row>
    <row r="804" customFormat="false" ht="15.75" hidden="false" customHeight="false" outlineLevel="0" collapsed="false">
      <c r="T804" s="244"/>
      <c r="U804" s="244"/>
    </row>
    <row r="805" customFormat="false" ht="15.75" hidden="false" customHeight="false" outlineLevel="0" collapsed="false">
      <c r="T805" s="244"/>
      <c r="U805" s="244"/>
    </row>
    <row r="806" customFormat="false" ht="15.75" hidden="false" customHeight="false" outlineLevel="0" collapsed="false">
      <c r="T806" s="244"/>
      <c r="U806" s="244"/>
    </row>
    <row r="807" customFormat="false" ht="15.75" hidden="false" customHeight="false" outlineLevel="0" collapsed="false">
      <c r="T807" s="244"/>
      <c r="U807" s="244"/>
    </row>
    <row r="808" customFormat="false" ht="15.75" hidden="false" customHeight="false" outlineLevel="0" collapsed="false">
      <c r="T808" s="244"/>
      <c r="U808" s="244"/>
    </row>
    <row r="809" customFormat="false" ht="15.75" hidden="false" customHeight="false" outlineLevel="0" collapsed="false">
      <c r="T809" s="244"/>
      <c r="U809" s="244"/>
    </row>
    <row r="810" customFormat="false" ht="15.75" hidden="false" customHeight="false" outlineLevel="0" collapsed="false">
      <c r="T810" s="244"/>
      <c r="U810" s="244"/>
    </row>
    <row r="811" customFormat="false" ht="15.75" hidden="false" customHeight="false" outlineLevel="0" collapsed="false">
      <c r="T811" s="244"/>
      <c r="U811" s="244"/>
    </row>
    <row r="812" customFormat="false" ht="15.75" hidden="false" customHeight="false" outlineLevel="0" collapsed="false">
      <c r="T812" s="244"/>
      <c r="U812" s="244"/>
    </row>
    <row r="813" customFormat="false" ht="15.75" hidden="false" customHeight="false" outlineLevel="0" collapsed="false">
      <c r="T813" s="244"/>
      <c r="U813" s="244"/>
    </row>
    <row r="814" customFormat="false" ht="15.75" hidden="false" customHeight="false" outlineLevel="0" collapsed="false">
      <c r="T814" s="244"/>
      <c r="U814" s="244"/>
    </row>
    <row r="815" customFormat="false" ht="15.75" hidden="false" customHeight="false" outlineLevel="0" collapsed="false">
      <c r="T815" s="244"/>
      <c r="U815" s="244"/>
    </row>
    <row r="816" customFormat="false" ht="15.75" hidden="false" customHeight="false" outlineLevel="0" collapsed="false">
      <c r="T816" s="244"/>
      <c r="U816" s="244"/>
    </row>
    <row r="817" customFormat="false" ht="15.75" hidden="false" customHeight="false" outlineLevel="0" collapsed="false">
      <c r="T817" s="244"/>
      <c r="U817" s="244"/>
    </row>
    <row r="818" customFormat="false" ht="15.75" hidden="false" customHeight="false" outlineLevel="0" collapsed="false">
      <c r="T818" s="244"/>
      <c r="U818" s="244"/>
    </row>
    <row r="819" customFormat="false" ht="15.75" hidden="false" customHeight="false" outlineLevel="0" collapsed="false">
      <c r="T819" s="244"/>
      <c r="U819" s="244"/>
    </row>
    <row r="820" customFormat="false" ht="15.75" hidden="false" customHeight="false" outlineLevel="0" collapsed="false">
      <c r="T820" s="244"/>
      <c r="U820" s="244"/>
    </row>
    <row r="821" customFormat="false" ht="15.75" hidden="false" customHeight="false" outlineLevel="0" collapsed="false">
      <c r="T821" s="244"/>
      <c r="U821" s="244"/>
    </row>
    <row r="822" customFormat="false" ht="15.75" hidden="false" customHeight="false" outlineLevel="0" collapsed="false">
      <c r="T822" s="244"/>
      <c r="U822" s="244"/>
    </row>
    <row r="823" customFormat="false" ht="15.75" hidden="false" customHeight="false" outlineLevel="0" collapsed="false">
      <c r="T823" s="244"/>
      <c r="U823" s="244"/>
    </row>
    <row r="824" customFormat="false" ht="15.75" hidden="false" customHeight="false" outlineLevel="0" collapsed="false">
      <c r="T824" s="244"/>
      <c r="U824" s="244"/>
    </row>
    <row r="825" customFormat="false" ht="15.75" hidden="false" customHeight="false" outlineLevel="0" collapsed="false">
      <c r="T825" s="244"/>
      <c r="U825" s="244"/>
    </row>
    <row r="826" customFormat="false" ht="15.75" hidden="false" customHeight="false" outlineLevel="0" collapsed="false">
      <c r="T826" s="244"/>
      <c r="U826" s="244"/>
    </row>
    <row r="827" customFormat="false" ht="15.75" hidden="false" customHeight="false" outlineLevel="0" collapsed="false">
      <c r="T827" s="244"/>
      <c r="U827" s="244"/>
    </row>
    <row r="828" customFormat="false" ht="15.75" hidden="false" customHeight="false" outlineLevel="0" collapsed="false">
      <c r="T828" s="244"/>
      <c r="U828" s="244"/>
    </row>
    <row r="829" customFormat="false" ht="15.75" hidden="false" customHeight="false" outlineLevel="0" collapsed="false">
      <c r="T829" s="244"/>
      <c r="U829" s="244"/>
    </row>
    <row r="830" customFormat="false" ht="15.75" hidden="false" customHeight="false" outlineLevel="0" collapsed="false">
      <c r="T830" s="244"/>
      <c r="U830" s="244"/>
    </row>
    <row r="831" customFormat="false" ht="15.75" hidden="false" customHeight="false" outlineLevel="0" collapsed="false">
      <c r="T831" s="244"/>
      <c r="U831" s="244"/>
    </row>
    <row r="832" customFormat="false" ht="15.75" hidden="false" customHeight="false" outlineLevel="0" collapsed="false">
      <c r="T832" s="244"/>
      <c r="U832" s="244"/>
    </row>
    <row r="833" customFormat="false" ht="15.75" hidden="false" customHeight="false" outlineLevel="0" collapsed="false">
      <c r="T833" s="244"/>
      <c r="U833" s="244"/>
    </row>
    <row r="834" customFormat="false" ht="15.75" hidden="false" customHeight="false" outlineLevel="0" collapsed="false">
      <c r="T834" s="244"/>
      <c r="U834" s="244"/>
    </row>
    <row r="835" customFormat="false" ht="15.75" hidden="false" customHeight="false" outlineLevel="0" collapsed="false">
      <c r="T835" s="244"/>
      <c r="U835" s="244"/>
    </row>
    <row r="836" customFormat="false" ht="15.75" hidden="false" customHeight="false" outlineLevel="0" collapsed="false">
      <c r="T836" s="244"/>
      <c r="U836" s="244"/>
    </row>
    <row r="837" customFormat="false" ht="15.75" hidden="false" customHeight="false" outlineLevel="0" collapsed="false">
      <c r="T837" s="244"/>
      <c r="U837" s="244"/>
    </row>
    <row r="838" customFormat="false" ht="15.75" hidden="false" customHeight="false" outlineLevel="0" collapsed="false">
      <c r="T838" s="244"/>
      <c r="U838" s="244"/>
    </row>
    <row r="839" customFormat="false" ht="15.75" hidden="false" customHeight="false" outlineLevel="0" collapsed="false">
      <c r="T839" s="244"/>
      <c r="U839" s="244"/>
    </row>
    <row r="840" customFormat="false" ht="15.75" hidden="false" customHeight="false" outlineLevel="0" collapsed="false">
      <c r="T840" s="244"/>
      <c r="U840" s="244"/>
    </row>
    <row r="841" customFormat="false" ht="15.75" hidden="false" customHeight="false" outlineLevel="0" collapsed="false">
      <c r="T841" s="244"/>
      <c r="U841" s="244"/>
    </row>
    <row r="842" customFormat="false" ht="15.75" hidden="false" customHeight="false" outlineLevel="0" collapsed="false">
      <c r="T842" s="244"/>
      <c r="U842" s="244"/>
    </row>
    <row r="843" customFormat="false" ht="15.75" hidden="false" customHeight="false" outlineLevel="0" collapsed="false">
      <c r="T843" s="244"/>
      <c r="U843" s="244"/>
    </row>
    <row r="844" customFormat="false" ht="15.75" hidden="false" customHeight="false" outlineLevel="0" collapsed="false">
      <c r="T844" s="244"/>
      <c r="U844" s="244"/>
    </row>
    <row r="845" customFormat="false" ht="15.75" hidden="false" customHeight="false" outlineLevel="0" collapsed="false">
      <c r="T845" s="244"/>
      <c r="U845" s="244"/>
    </row>
    <row r="846" customFormat="false" ht="15.75" hidden="false" customHeight="false" outlineLevel="0" collapsed="false">
      <c r="T846" s="244"/>
      <c r="U846" s="244"/>
    </row>
    <row r="847" customFormat="false" ht="15.75" hidden="false" customHeight="false" outlineLevel="0" collapsed="false">
      <c r="T847" s="244"/>
      <c r="U847" s="244"/>
    </row>
    <row r="848" customFormat="false" ht="15.75" hidden="false" customHeight="false" outlineLevel="0" collapsed="false">
      <c r="T848" s="244"/>
      <c r="U848" s="244"/>
    </row>
    <row r="849" customFormat="false" ht="15.75" hidden="false" customHeight="false" outlineLevel="0" collapsed="false">
      <c r="T849" s="244"/>
      <c r="U849" s="244"/>
    </row>
    <row r="850" customFormat="false" ht="15.75" hidden="false" customHeight="false" outlineLevel="0" collapsed="false">
      <c r="T850" s="244"/>
      <c r="U850" s="244"/>
    </row>
    <row r="851" customFormat="false" ht="15.75" hidden="false" customHeight="false" outlineLevel="0" collapsed="false">
      <c r="T851" s="244"/>
      <c r="U851" s="244"/>
    </row>
    <row r="852" customFormat="false" ht="15.75" hidden="false" customHeight="false" outlineLevel="0" collapsed="false">
      <c r="T852" s="244"/>
      <c r="U852" s="244"/>
    </row>
    <row r="853" customFormat="false" ht="15.75" hidden="false" customHeight="false" outlineLevel="0" collapsed="false">
      <c r="T853" s="244"/>
      <c r="U853" s="244"/>
    </row>
    <row r="854" customFormat="false" ht="15.75" hidden="false" customHeight="false" outlineLevel="0" collapsed="false">
      <c r="T854" s="244"/>
      <c r="U854" s="244"/>
    </row>
    <row r="855" customFormat="false" ht="15.75" hidden="false" customHeight="false" outlineLevel="0" collapsed="false">
      <c r="T855" s="244"/>
      <c r="U855" s="244"/>
    </row>
    <row r="856" customFormat="false" ht="15.75" hidden="false" customHeight="false" outlineLevel="0" collapsed="false">
      <c r="T856" s="244"/>
      <c r="U856" s="244"/>
    </row>
    <row r="857" customFormat="false" ht="15.75" hidden="false" customHeight="false" outlineLevel="0" collapsed="false">
      <c r="T857" s="244"/>
      <c r="U857" s="244"/>
    </row>
    <row r="858" customFormat="false" ht="15.75" hidden="false" customHeight="false" outlineLevel="0" collapsed="false">
      <c r="T858" s="244"/>
      <c r="U858" s="244"/>
    </row>
    <row r="859" customFormat="false" ht="15.75" hidden="false" customHeight="false" outlineLevel="0" collapsed="false">
      <c r="T859" s="244"/>
      <c r="U859" s="244"/>
    </row>
    <row r="860" customFormat="false" ht="15.75" hidden="false" customHeight="false" outlineLevel="0" collapsed="false">
      <c r="T860" s="244"/>
      <c r="U860" s="244"/>
    </row>
    <row r="861" customFormat="false" ht="15.75" hidden="false" customHeight="false" outlineLevel="0" collapsed="false">
      <c r="T861" s="244"/>
      <c r="U861" s="244"/>
    </row>
    <row r="862" customFormat="false" ht="15.75" hidden="false" customHeight="false" outlineLevel="0" collapsed="false">
      <c r="T862" s="244"/>
      <c r="U862" s="244"/>
    </row>
    <row r="863" customFormat="false" ht="15.75" hidden="false" customHeight="false" outlineLevel="0" collapsed="false">
      <c r="T863" s="244"/>
      <c r="U863" s="244"/>
    </row>
    <row r="864" customFormat="false" ht="15.75" hidden="false" customHeight="false" outlineLevel="0" collapsed="false">
      <c r="T864" s="244"/>
      <c r="U864" s="244"/>
    </row>
    <row r="865" customFormat="false" ht="15.75" hidden="false" customHeight="false" outlineLevel="0" collapsed="false">
      <c r="T865" s="244"/>
      <c r="U865" s="244"/>
    </row>
    <row r="866" customFormat="false" ht="15.75" hidden="false" customHeight="false" outlineLevel="0" collapsed="false">
      <c r="T866" s="244"/>
      <c r="U866" s="244"/>
    </row>
    <row r="867" customFormat="false" ht="15.75" hidden="false" customHeight="false" outlineLevel="0" collapsed="false">
      <c r="T867" s="244"/>
      <c r="U867" s="244"/>
    </row>
    <row r="868" customFormat="false" ht="15.75" hidden="false" customHeight="false" outlineLevel="0" collapsed="false">
      <c r="T868" s="244"/>
      <c r="U868" s="244"/>
    </row>
    <row r="869" customFormat="false" ht="15.75" hidden="false" customHeight="false" outlineLevel="0" collapsed="false">
      <c r="T869" s="244"/>
      <c r="U869" s="244"/>
    </row>
    <row r="870" customFormat="false" ht="15.75" hidden="false" customHeight="false" outlineLevel="0" collapsed="false">
      <c r="T870" s="244"/>
      <c r="U870" s="244"/>
    </row>
    <row r="871" customFormat="false" ht="15.75" hidden="false" customHeight="false" outlineLevel="0" collapsed="false">
      <c r="T871" s="244"/>
      <c r="U871" s="244"/>
    </row>
    <row r="872" customFormat="false" ht="15.75" hidden="false" customHeight="false" outlineLevel="0" collapsed="false">
      <c r="T872" s="244"/>
      <c r="U872" s="244"/>
    </row>
    <row r="873" customFormat="false" ht="15.75" hidden="false" customHeight="false" outlineLevel="0" collapsed="false">
      <c r="T873" s="244"/>
      <c r="U873" s="244"/>
    </row>
    <row r="874" customFormat="false" ht="15.75" hidden="false" customHeight="false" outlineLevel="0" collapsed="false">
      <c r="T874" s="244"/>
      <c r="U874" s="244"/>
    </row>
    <row r="875" customFormat="false" ht="15.75" hidden="false" customHeight="false" outlineLevel="0" collapsed="false">
      <c r="T875" s="244"/>
      <c r="U875" s="244"/>
    </row>
    <row r="876" customFormat="false" ht="15.75" hidden="false" customHeight="false" outlineLevel="0" collapsed="false">
      <c r="T876" s="244"/>
      <c r="U876" s="244"/>
    </row>
    <row r="877" customFormat="false" ht="15.75" hidden="false" customHeight="false" outlineLevel="0" collapsed="false">
      <c r="T877" s="244"/>
      <c r="U877" s="244"/>
    </row>
    <row r="878" customFormat="false" ht="15.75" hidden="false" customHeight="false" outlineLevel="0" collapsed="false">
      <c r="T878" s="244"/>
      <c r="U878" s="244"/>
    </row>
    <row r="879" customFormat="false" ht="15.75" hidden="false" customHeight="false" outlineLevel="0" collapsed="false">
      <c r="T879" s="244"/>
      <c r="U879" s="244"/>
    </row>
    <row r="880" customFormat="false" ht="15.75" hidden="false" customHeight="false" outlineLevel="0" collapsed="false">
      <c r="T880" s="244"/>
      <c r="U880" s="244"/>
    </row>
    <row r="881" customFormat="false" ht="15.75" hidden="false" customHeight="false" outlineLevel="0" collapsed="false">
      <c r="T881" s="244"/>
      <c r="U881" s="244"/>
    </row>
    <row r="882" customFormat="false" ht="15.75" hidden="false" customHeight="false" outlineLevel="0" collapsed="false">
      <c r="T882" s="244"/>
      <c r="U882" s="244"/>
    </row>
    <row r="883" customFormat="false" ht="15.75" hidden="false" customHeight="false" outlineLevel="0" collapsed="false">
      <c r="T883" s="244"/>
      <c r="U883" s="244"/>
    </row>
    <row r="884" customFormat="false" ht="15.75" hidden="false" customHeight="false" outlineLevel="0" collapsed="false">
      <c r="T884" s="244"/>
      <c r="U884" s="244"/>
    </row>
    <row r="885" customFormat="false" ht="15.75" hidden="false" customHeight="false" outlineLevel="0" collapsed="false">
      <c r="T885" s="244"/>
      <c r="U885" s="244"/>
    </row>
    <row r="886" customFormat="false" ht="15.75" hidden="false" customHeight="false" outlineLevel="0" collapsed="false">
      <c r="T886" s="244"/>
      <c r="U886" s="244"/>
    </row>
    <row r="887" customFormat="false" ht="15.75" hidden="false" customHeight="false" outlineLevel="0" collapsed="false">
      <c r="T887" s="244"/>
      <c r="U887" s="244"/>
    </row>
    <row r="888" customFormat="false" ht="15.75" hidden="false" customHeight="false" outlineLevel="0" collapsed="false">
      <c r="T888" s="244"/>
      <c r="U888" s="244"/>
    </row>
    <row r="889" customFormat="false" ht="15.75" hidden="false" customHeight="false" outlineLevel="0" collapsed="false">
      <c r="T889" s="244"/>
      <c r="U889" s="244"/>
    </row>
    <row r="890" customFormat="false" ht="15.75" hidden="false" customHeight="false" outlineLevel="0" collapsed="false">
      <c r="T890" s="244"/>
      <c r="U890" s="244"/>
    </row>
    <row r="891" customFormat="false" ht="15.75" hidden="false" customHeight="false" outlineLevel="0" collapsed="false">
      <c r="T891" s="244"/>
      <c r="U891" s="244"/>
    </row>
    <row r="892" customFormat="false" ht="15.75" hidden="false" customHeight="false" outlineLevel="0" collapsed="false">
      <c r="T892" s="244"/>
      <c r="U892" s="244"/>
    </row>
    <row r="893" customFormat="false" ht="15.75" hidden="false" customHeight="false" outlineLevel="0" collapsed="false">
      <c r="T893" s="244"/>
      <c r="U893" s="244"/>
    </row>
    <row r="894" customFormat="false" ht="15.75" hidden="false" customHeight="false" outlineLevel="0" collapsed="false">
      <c r="T894" s="244"/>
      <c r="U894" s="244"/>
    </row>
    <row r="895" customFormat="false" ht="15.75" hidden="false" customHeight="false" outlineLevel="0" collapsed="false">
      <c r="T895" s="244"/>
      <c r="U895" s="244"/>
    </row>
    <row r="896" customFormat="false" ht="15.75" hidden="false" customHeight="false" outlineLevel="0" collapsed="false">
      <c r="T896" s="244"/>
      <c r="U896" s="244"/>
    </row>
    <row r="897" customFormat="false" ht="15.75" hidden="false" customHeight="false" outlineLevel="0" collapsed="false">
      <c r="T897" s="244"/>
      <c r="U897" s="244"/>
    </row>
    <row r="898" customFormat="false" ht="15.75" hidden="false" customHeight="false" outlineLevel="0" collapsed="false">
      <c r="T898" s="244"/>
      <c r="U898" s="244"/>
    </row>
    <row r="899" customFormat="false" ht="15.75" hidden="false" customHeight="false" outlineLevel="0" collapsed="false">
      <c r="T899" s="244"/>
      <c r="U899" s="244"/>
    </row>
    <row r="900" customFormat="false" ht="15.75" hidden="false" customHeight="false" outlineLevel="0" collapsed="false">
      <c r="T900" s="244"/>
      <c r="U900" s="244"/>
    </row>
    <row r="901" customFormat="false" ht="15.75" hidden="false" customHeight="false" outlineLevel="0" collapsed="false">
      <c r="T901" s="244"/>
      <c r="U901" s="244"/>
    </row>
    <row r="902" customFormat="false" ht="15.75" hidden="false" customHeight="false" outlineLevel="0" collapsed="false">
      <c r="T902" s="244"/>
      <c r="U902" s="244"/>
    </row>
    <row r="903" customFormat="false" ht="15.75" hidden="false" customHeight="false" outlineLevel="0" collapsed="false">
      <c r="T903" s="244"/>
      <c r="U903" s="244"/>
    </row>
    <row r="904" customFormat="false" ht="15.75" hidden="false" customHeight="false" outlineLevel="0" collapsed="false">
      <c r="T904" s="244"/>
      <c r="U904" s="244"/>
    </row>
    <row r="905" customFormat="false" ht="15.75" hidden="false" customHeight="false" outlineLevel="0" collapsed="false">
      <c r="T905" s="244"/>
      <c r="U905" s="244"/>
    </row>
    <row r="906" customFormat="false" ht="15.75" hidden="false" customHeight="false" outlineLevel="0" collapsed="false">
      <c r="T906" s="244"/>
      <c r="U906" s="244"/>
    </row>
    <row r="907" customFormat="false" ht="15.75" hidden="false" customHeight="false" outlineLevel="0" collapsed="false">
      <c r="T907" s="244"/>
      <c r="U907" s="244"/>
    </row>
    <row r="908" customFormat="false" ht="15.75" hidden="false" customHeight="false" outlineLevel="0" collapsed="false">
      <c r="T908" s="244"/>
      <c r="U908" s="244"/>
    </row>
    <row r="909" customFormat="false" ht="15.75" hidden="false" customHeight="false" outlineLevel="0" collapsed="false">
      <c r="T909" s="244"/>
      <c r="U909" s="244"/>
    </row>
    <row r="910" customFormat="false" ht="15.75" hidden="false" customHeight="false" outlineLevel="0" collapsed="false">
      <c r="T910" s="244"/>
      <c r="U910" s="244"/>
    </row>
    <row r="911" customFormat="false" ht="15.75" hidden="false" customHeight="false" outlineLevel="0" collapsed="false">
      <c r="T911" s="244"/>
      <c r="U911" s="244"/>
    </row>
    <row r="912" customFormat="false" ht="15.75" hidden="false" customHeight="false" outlineLevel="0" collapsed="false">
      <c r="T912" s="244"/>
      <c r="U912" s="244"/>
    </row>
    <row r="913" customFormat="false" ht="15.75" hidden="false" customHeight="false" outlineLevel="0" collapsed="false">
      <c r="T913" s="244"/>
      <c r="U913" s="244"/>
    </row>
    <row r="914" customFormat="false" ht="15.75" hidden="false" customHeight="false" outlineLevel="0" collapsed="false">
      <c r="T914" s="244"/>
      <c r="U914" s="244"/>
    </row>
    <row r="915" customFormat="false" ht="15.75" hidden="false" customHeight="false" outlineLevel="0" collapsed="false">
      <c r="T915" s="244"/>
      <c r="U915" s="244"/>
    </row>
    <row r="916" customFormat="false" ht="15.75" hidden="false" customHeight="false" outlineLevel="0" collapsed="false">
      <c r="T916" s="244"/>
      <c r="U916" s="244"/>
    </row>
    <row r="917" customFormat="false" ht="15.75" hidden="false" customHeight="false" outlineLevel="0" collapsed="false">
      <c r="T917" s="244"/>
      <c r="U917" s="244"/>
    </row>
    <row r="918" customFormat="false" ht="15.75" hidden="false" customHeight="false" outlineLevel="0" collapsed="false">
      <c r="T918" s="244"/>
      <c r="U918" s="244"/>
    </row>
    <row r="919" customFormat="false" ht="15.75" hidden="false" customHeight="false" outlineLevel="0" collapsed="false">
      <c r="T919" s="244"/>
      <c r="U919" s="244"/>
    </row>
    <row r="920" customFormat="false" ht="15.75" hidden="false" customHeight="false" outlineLevel="0" collapsed="false">
      <c r="T920" s="244"/>
      <c r="U920" s="244"/>
    </row>
    <row r="921" customFormat="false" ht="15.75" hidden="false" customHeight="false" outlineLevel="0" collapsed="false">
      <c r="T921" s="244"/>
      <c r="U921" s="244"/>
    </row>
    <row r="922" customFormat="false" ht="15.75" hidden="false" customHeight="false" outlineLevel="0" collapsed="false">
      <c r="T922" s="244"/>
      <c r="U922" s="244"/>
    </row>
    <row r="923" customFormat="false" ht="15.75" hidden="false" customHeight="false" outlineLevel="0" collapsed="false">
      <c r="T923" s="244"/>
      <c r="U923" s="244"/>
    </row>
    <row r="924" customFormat="false" ht="15.75" hidden="false" customHeight="false" outlineLevel="0" collapsed="false">
      <c r="T924" s="244"/>
      <c r="U924" s="244"/>
    </row>
    <row r="925" customFormat="false" ht="15.75" hidden="false" customHeight="false" outlineLevel="0" collapsed="false">
      <c r="T925" s="244"/>
      <c r="U925" s="244"/>
    </row>
    <row r="926" customFormat="false" ht="15.75" hidden="false" customHeight="false" outlineLevel="0" collapsed="false">
      <c r="T926" s="244"/>
      <c r="U926" s="244"/>
    </row>
    <row r="927" customFormat="false" ht="15.75" hidden="false" customHeight="false" outlineLevel="0" collapsed="false">
      <c r="T927" s="244"/>
      <c r="U927" s="244"/>
    </row>
    <row r="928" customFormat="false" ht="15.75" hidden="false" customHeight="false" outlineLevel="0" collapsed="false">
      <c r="T928" s="244"/>
      <c r="U928" s="244"/>
    </row>
    <row r="929" customFormat="false" ht="15.75" hidden="false" customHeight="false" outlineLevel="0" collapsed="false">
      <c r="T929" s="244"/>
      <c r="U929" s="244"/>
    </row>
    <row r="930" customFormat="false" ht="15.75" hidden="false" customHeight="false" outlineLevel="0" collapsed="false">
      <c r="T930" s="244"/>
      <c r="U930" s="244"/>
    </row>
    <row r="931" customFormat="false" ht="15.75" hidden="false" customHeight="false" outlineLevel="0" collapsed="false">
      <c r="T931" s="244"/>
      <c r="U931" s="244"/>
    </row>
    <row r="932" customFormat="false" ht="15.75" hidden="false" customHeight="false" outlineLevel="0" collapsed="false">
      <c r="T932" s="244"/>
      <c r="U932" s="244"/>
    </row>
    <row r="933" customFormat="false" ht="15.75" hidden="false" customHeight="false" outlineLevel="0" collapsed="false">
      <c r="T933" s="244"/>
      <c r="U933" s="244"/>
    </row>
    <row r="934" customFormat="false" ht="15.75" hidden="false" customHeight="false" outlineLevel="0" collapsed="false">
      <c r="T934" s="244"/>
      <c r="U934" s="244"/>
    </row>
    <row r="935" customFormat="false" ht="15.75" hidden="false" customHeight="false" outlineLevel="0" collapsed="false">
      <c r="T935" s="244"/>
      <c r="U935" s="244"/>
    </row>
    <row r="936" customFormat="false" ht="15.75" hidden="false" customHeight="false" outlineLevel="0" collapsed="false">
      <c r="T936" s="244"/>
      <c r="U936" s="244"/>
    </row>
    <row r="937" customFormat="false" ht="15.75" hidden="false" customHeight="false" outlineLevel="0" collapsed="false">
      <c r="T937" s="244"/>
      <c r="U937" s="244"/>
    </row>
    <row r="938" customFormat="false" ht="15.75" hidden="false" customHeight="false" outlineLevel="0" collapsed="false">
      <c r="T938" s="244"/>
      <c r="U938" s="244"/>
    </row>
    <row r="939" customFormat="false" ht="15.75" hidden="false" customHeight="false" outlineLevel="0" collapsed="false">
      <c r="T939" s="244"/>
      <c r="U939" s="244"/>
    </row>
    <row r="940" customFormat="false" ht="15.75" hidden="false" customHeight="false" outlineLevel="0" collapsed="false">
      <c r="T940" s="244"/>
      <c r="U940" s="244"/>
    </row>
    <row r="941" customFormat="false" ht="15.75" hidden="false" customHeight="false" outlineLevel="0" collapsed="false">
      <c r="T941" s="244"/>
      <c r="U941" s="244"/>
    </row>
    <row r="942" customFormat="false" ht="15.75" hidden="false" customHeight="false" outlineLevel="0" collapsed="false">
      <c r="T942" s="244"/>
      <c r="U942" s="244"/>
    </row>
    <row r="943" customFormat="false" ht="15.75" hidden="false" customHeight="false" outlineLevel="0" collapsed="false">
      <c r="T943" s="244"/>
      <c r="U943" s="244"/>
    </row>
    <row r="944" customFormat="false" ht="15.75" hidden="false" customHeight="false" outlineLevel="0" collapsed="false">
      <c r="T944" s="244"/>
      <c r="U944" s="244"/>
    </row>
    <row r="945" customFormat="false" ht="15.75" hidden="false" customHeight="false" outlineLevel="0" collapsed="false">
      <c r="T945" s="244"/>
      <c r="U945" s="244"/>
    </row>
    <row r="946" customFormat="false" ht="15.75" hidden="false" customHeight="false" outlineLevel="0" collapsed="false">
      <c r="T946" s="244"/>
      <c r="U946" s="244"/>
    </row>
    <row r="947" customFormat="false" ht="15.75" hidden="false" customHeight="false" outlineLevel="0" collapsed="false">
      <c r="T947" s="244"/>
      <c r="U947" s="244"/>
    </row>
    <row r="948" customFormat="false" ht="15.75" hidden="false" customHeight="false" outlineLevel="0" collapsed="false">
      <c r="T948" s="244"/>
      <c r="U948" s="244"/>
    </row>
    <row r="949" customFormat="false" ht="15.75" hidden="false" customHeight="false" outlineLevel="0" collapsed="false">
      <c r="T949" s="244"/>
      <c r="U949" s="244"/>
    </row>
    <row r="950" customFormat="false" ht="15.75" hidden="false" customHeight="false" outlineLevel="0" collapsed="false">
      <c r="T950" s="244"/>
      <c r="U950" s="244"/>
    </row>
    <row r="951" customFormat="false" ht="15.75" hidden="false" customHeight="false" outlineLevel="0" collapsed="false">
      <c r="T951" s="244"/>
      <c r="U951" s="244"/>
    </row>
    <row r="952" customFormat="false" ht="15.75" hidden="false" customHeight="false" outlineLevel="0" collapsed="false">
      <c r="T952" s="244"/>
      <c r="U952" s="244"/>
    </row>
    <row r="953" customFormat="false" ht="15.75" hidden="false" customHeight="false" outlineLevel="0" collapsed="false">
      <c r="T953" s="244"/>
      <c r="U953" s="244"/>
    </row>
    <row r="954" customFormat="false" ht="15.75" hidden="false" customHeight="false" outlineLevel="0" collapsed="false">
      <c r="T954" s="244"/>
      <c r="U954" s="244"/>
    </row>
    <row r="955" customFormat="false" ht="15.75" hidden="false" customHeight="false" outlineLevel="0" collapsed="false">
      <c r="T955" s="244"/>
      <c r="U955" s="244"/>
    </row>
    <row r="956" customFormat="false" ht="15.75" hidden="false" customHeight="false" outlineLevel="0" collapsed="false">
      <c r="T956" s="244"/>
      <c r="U956" s="244"/>
    </row>
    <row r="957" customFormat="false" ht="15.75" hidden="false" customHeight="false" outlineLevel="0" collapsed="false">
      <c r="T957" s="244"/>
      <c r="U957" s="244"/>
    </row>
    <row r="958" customFormat="false" ht="15.75" hidden="false" customHeight="false" outlineLevel="0" collapsed="false">
      <c r="T958" s="244"/>
      <c r="U958" s="244"/>
    </row>
    <row r="959" customFormat="false" ht="15.75" hidden="false" customHeight="false" outlineLevel="0" collapsed="false">
      <c r="T959" s="244"/>
      <c r="U959" s="244"/>
    </row>
    <row r="960" customFormat="false" ht="15.75" hidden="false" customHeight="false" outlineLevel="0" collapsed="false">
      <c r="T960" s="244"/>
      <c r="U960" s="244"/>
    </row>
    <row r="961" customFormat="false" ht="15.75" hidden="false" customHeight="false" outlineLevel="0" collapsed="false">
      <c r="T961" s="244"/>
      <c r="U961" s="244"/>
    </row>
    <row r="962" customFormat="false" ht="15.75" hidden="false" customHeight="false" outlineLevel="0" collapsed="false">
      <c r="T962" s="244"/>
      <c r="U962" s="244"/>
    </row>
    <row r="963" customFormat="false" ht="15.75" hidden="false" customHeight="false" outlineLevel="0" collapsed="false">
      <c r="T963" s="244"/>
      <c r="U963" s="244"/>
    </row>
    <row r="964" customFormat="false" ht="15.75" hidden="false" customHeight="false" outlineLevel="0" collapsed="false">
      <c r="T964" s="244"/>
      <c r="U964" s="244"/>
    </row>
    <row r="965" customFormat="false" ht="15.75" hidden="false" customHeight="false" outlineLevel="0" collapsed="false">
      <c r="T965" s="244"/>
      <c r="U965" s="244"/>
    </row>
    <row r="966" customFormat="false" ht="15.75" hidden="false" customHeight="false" outlineLevel="0" collapsed="false">
      <c r="T966" s="244"/>
      <c r="U966" s="244"/>
    </row>
    <row r="967" customFormat="false" ht="15.75" hidden="false" customHeight="false" outlineLevel="0" collapsed="false">
      <c r="T967" s="244"/>
      <c r="U967" s="244"/>
    </row>
    <row r="968" customFormat="false" ht="15.75" hidden="false" customHeight="false" outlineLevel="0" collapsed="false">
      <c r="T968" s="244"/>
      <c r="U968" s="244"/>
    </row>
    <row r="969" customFormat="false" ht="15.75" hidden="false" customHeight="false" outlineLevel="0" collapsed="false">
      <c r="T969" s="244"/>
      <c r="U969" s="244"/>
    </row>
    <row r="970" customFormat="false" ht="15.75" hidden="false" customHeight="false" outlineLevel="0" collapsed="false">
      <c r="T970" s="244"/>
      <c r="U970" s="244"/>
    </row>
    <row r="971" customFormat="false" ht="15.75" hidden="false" customHeight="false" outlineLevel="0" collapsed="false">
      <c r="T971" s="244"/>
      <c r="U971" s="244"/>
    </row>
    <row r="972" customFormat="false" ht="15.75" hidden="false" customHeight="false" outlineLevel="0" collapsed="false">
      <c r="T972" s="244"/>
      <c r="U972" s="244"/>
    </row>
    <row r="973" customFormat="false" ht="15.75" hidden="false" customHeight="false" outlineLevel="0" collapsed="false">
      <c r="T973" s="244"/>
      <c r="U973" s="244"/>
    </row>
    <row r="974" customFormat="false" ht="15.75" hidden="false" customHeight="false" outlineLevel="0" collapsed="false">
      <c r="T974" s="244"/>
      <c r="U974" s="244"/>
    </row>
    <row r="975" customFormat="false" ht="15.75" hidden="false" customHeight="false" outlineLevel="0" collapsed="false">
      <c r="T975" s="244"/>
      <c r="U975" s="244"/>
    </row>
    <row r="976" customFormat="false" ht="15.75" hidden="false" customHeight="false" outlineLevel="0" collapsed="false">
      <c r="T976" s="244"/>
      <c r="U976" s="244"/>
    </row>
    <row r="977" customFormat="false" ht="15.75" hidden="false" customHeight="false" outlineLevel="0" collapsed="false">
      <c r="T977" s="244"/>
      <c r="U977" s="244"/>
    </row>
    <row r="978" customFormat="false" ht="15.75" hidden="false" customHeight="false" outlineLevel="0" collapsed="false">
      <c r="T978" s="244"/>
      <c r="U978" s="244"/>
    </row>
    <row r="979" customFormat="false" ht="15.75" hidden="false" customHeight="false" outlineLevel="0" collapsed="false">
      <c r="T979" s="244"/>
      <c r="U979" s="244"/>
    </row>
    <row r="980" customFormat="false" ht="15.75" hidden="false" customHeight="false" outlineLevel="0" collapsed="false">
      <c r="T980" s="244"/>
      <c r="U980" s="244"/>
    </row>
    <row r="981" customFormat="false" ht="15.75" hidden="false" customHeight="false" outlineLevel="0" collapsed="false">
      <c r="T981" s="244"/>
      <c r="U981" s="244"/>
    </row>
    <row r="982" customFormat="false" ht="15.75" hidden="false" customHeight="false" outlineLevel="0" collapsed="false">
      <c r="T982" s="244"/>
      <c r="U982" s="244"/>
    </row>
    <row r="983" customFormat="false" ht="15.75" hidden="false" customHeight="false" outlineLevel="0" collapsed="false">
      <c r="T983" s="244"/>
      <c r="U983" s="244"/>
    </row>
    <row r="984" customFormat="false" ht="15.75" hidden="false" customHeight="false" outlineLevel="0" collapsed="false">
      <c r="T984" s="244"/>
      <c r="U984" s="244"/>
    </row>
    <row r="985" customFormat="false" ht="15.75" hidden="false" customHeight="false" outlineLevel="0" collapsed="false">
      <c r="T985" s="244"/>
      <c r="U985" s="244"/>
    </row>
    <row r="986" customFormat="false" ht="15.75" hidden="false" customHeight="false" outlineLevel="0" collapsed="false">
      <c r="T986" s="244"/>
      <c r="U986" s="244"/>
    </row>
    <row r="987" customFormat="false" ht="15.75" hidden="false" customHeight="false" outlineLevel="0" collapsed="false">
      <c r="T987" s="244"/>
      <c r="U987" s="244"/>
    </row>
    <row r="988" customFormat="false" ht="15.75" hidden="false" customHeight="false" outlineLevel="0" collapsed="false">
      <c r="T988" s="244"/>
      <c r="U988" s="244"/>
    </row>
    <row r="989" customFormat="false" ht="15.75" hidden="false" customHeight="false" outlineLevel="0" collapsed="false">
      <c r="T989" s="244"/>
      <c r="U989" s="244"/>
    </row>
    <row r="990" customFormat="false" ht="15.75" hidden="false" customHeight="false" outlineLevel="0" collapsed="false">
      <c r="T990" s="244"/>
      <c r="U990" s="244"/>
    </row>
    <row r="991" customFormat="false" ht="15.75" hidden="false" customHeight="false" outlineLevel="0" collapsed="false">
      <c r="T991" s="244"/>
      <c r="U991" s="244"/>
    </row>
    <row r="992" customFormat="false" ht="15.75" hidden="false" customHeight="false" outlineLevel="0" collapsed="false">
      <c r="T992" s="244"/>
      <c r="U992" s="244"/>
    </row>
    <row r="993" customFormat="false" ht="15.75" hidden="false" customHeight="false" outlineLevel="0" collapsed="false">
      <c r="T993" s="244"/>
      <c r="U993" s="244"/>
    </row>
    <row r="994" customFormat="false" ht="15.75" hidden="false" customHeight="false" outlineLevel="0" collapsed="false">
      <c r="T994" s="244"/>
      <c r="U994" s="244"/>
    </row>
    <row r="995" customFormat="false" ht="15.75" hidden="false" customHeight="false" outlineLevel="0" collapsed="false">
      <c r="T995" s="244"/>
      <c r="U995" s="244"/>
    </row>
    <row r="996" customFormat="false" ht="15.75" hidden="false" customHeight="false" outlineLevel="0" collapsed="false">
      <c r="T996" s="244"/>
      <c r="U996" s="244"/>
    </row>
    <row r="997" customFormat="false" ht="15.75" hidden="false" customHeight="false" outlineLevel="0" collapsed="false">
      <c r="T997" s="244"/>
      <c r="U997" s="244"/>
    </row>
    <row r="998" customFormat="false" ht="15.75" hidden="false" customHeight="false" outlineLevel="0" collapsed="false">
      <c r="T998" s="244"/>
      <c r="U998" s="244"/>
    </row>
    <row r="999" customFormat="false" ht="15.75" hidden="false" customHeight="false" outlineLevel="0" collapsed="false">
      <c r="T999" s="244"/>
      <c r="U999" s="244"/>
    </row>
    <row r="1000" customFormat="false" ht="15.75" hidden="false" customHeight="false" outlineLevel="0" collapsed="false">
      <c r="T1000" s="244"/>
      <c r="U1000" s="244"/>
    </row>
  </sheetData>
  <conditionalFormatting sqref="C2:D3">
    <cfRule type="expression" priority="2" aboveAverage="0" equalAverage="0" bottom="0" percent="0" rank="0" text="" dxfId="21">
      <formula>$H2="Terminated"</formula>
    </cfRule>
  </conditionalFormatting>
  <conditionalFormatting sqref="D2:D17">
    <cfRule type="expression" priority="3" aboveAverage="0" equalAverage="0" bottom="0" percent="0" rank="0" text="" dxfId="21">
      <formula>$I2="Terminated"</formula>
    </cfRule>
  </conditionalFormatting>
  <conditionalFormatting sqref="P2:P17">
    <cfRule type="expression" priority="4" aboveAverage="0" equalAverage="0" bottom="0" percent="0" rank="0" text="" dxfId="21">
      <formula>$I2="Terminated"</formula>
    </cfRule>
  </conditionalFormatting>
  <conditionalFormatting sqref="Q2:Q17">
    <cfRule type="expression" priority="5" aboveAverage="0" equalAverage="0" bottom="0" percent="0" rank="0" text="" dxfId="21">
      <formula>$I2="Terminated"</formula>
    </cfRule>
  </conditionalFormatting>
  <conditionalFormatting sqref="R2:R17">
    <cfRule type="expression" priority="6" aboveAverage="0" equalAverage="0" bottom="0" percent="0" rank="0" text="" dxfId="21">
      <formula>$I2="Terminated"</formula>
    </cfRule>
  </conditionalFormatting>
  <conditionalFormatting sqref="S2:S17">
    <cfRule type="expression" priority="7" aboveAverage="0" equalAverage="0" bottom="0" percent="0" rank="0" text="" dxfId="21">
      <formula>$I2="Terminated"</formula>
    </cfRule>
  </conditionalFormatting>
  <conditionalFormatting sqref="G2:G17">
    <cfRule type="expression" priority="8" aboveAverage="0" equalAverage="0" bottom="0" percent="0" rank="0" text="" dxfId="21">
      <formula>$I2="Terminated"</formula>
    </cfRule>
  </conditionalFormatting>
  <conditionalFormatting sqref="J2:J17">
    <cfRule type="expression" priority="9" aboveAverage="0" equalAverage="0" bottom="0" percent="0" rank="0" text="" dxfId="21">
      <formula>$I2="Terminated"</formula>
    </cfRule>
  </conditionalFormatting>
  <conditionalFormatting sqref="K2:K17">
    <cfRule type="expression" priority="10" aboveAverage="0" equalAverage="0" bottom="0" percent="0" rank="0" text="" dxfId="21">
      <formula>$I2="Terminated"</formula>
    </cfRule>
  </conditionalFormatting>
  <conditionalFormatting sqref="L2:L17">
    <cfRule type="expression" priority="11" aboveAverage="0" equalAverage="0" bottom="0" percent="0" rank="0" text="" dxfId="21">
      <formula>$I2="Terminated"</formula>
    </cfRule>
  </conditionalFormatting>
  <conditionalFormatting sqref="M2:M17">
    <cfRule type="expression" priority="12" aboveAverage="0" equalAverage="0" bottom="0" percent="0" rank="0" text="" dxfId="21">
      <formula>$I2="Terminated"</formula>
    </cfRule>
  </conditionalFormatting>
  <conditionalFormatting sqref="N2:N17">
    <cfRule type="expression" priority="13" aboveAverage="0" equalAverage="0" bottom="0" percent="0" rank="0" text="" dxfId="21">
      <formula>$I2="Terminated"</formula>
    </cfRule>
  </conditionalFormatting>
  <conditionalFormatting sqref="O2:O17">
    <cfRule type="expression" priority="14" aboveAverage="0" equalAverage="0" bottom="0" percent="0" rank="0" text="" dxfId="21">
      <formula>$I2="Terminated"</formula>
    </cfRule>
  </conditionalFormatting>
  <conditionalFormatting sqref="F2:F17">
    <cfRule type="expression" priority="15" aboveAverage="0" equalAverage="0" bottom="0" percent="0" rank="0" text="" dxfId="21">
      <formula>$I2="Terminated"</formula>
    </cfRule>
  </conditionalFormatting>
  <conditionalFormatting sqref="C2:C17">
    <cfRule type="expression" priority="16" aboveAverage="0" equalAverage="0" bottom="0" percent="0" rank="0" text="" dxfId="21">
      <formula>$I2="Terminated"</formula>
    </cfRule>
  </conditionalFormatting>
  <conditionalFormatting sqref="A2:A17">
    <cfRule type="expression" priority="17" aboveAverage="0" equalAverage="0" bottom="0" percent="0" rank="0" text="" dxfId="21">
      <formula>$I2="Terminated"</formula>
    </cfRule>
  </conditionalFormatting>
  <dataValidations count="4">
    <dataValidation allowBlank="true" errorStyle="stop" operator="between" showDropDown="false" showErrorMessage="true" showInputMessage="false" sqref="B2:B17" type="list">
      <formula1>"Lease Only"</formula1>
      <formula2>0</formula2>
    </dataValidation>
    <dataValidation allowBlank="true" errorStyle="stop" operator="between" showDropDown="false" showErrorMessage="true" showInputMessage="false" sqref="H2:H18" type="list">
      <formula1>"Occupied,Vacant"</formula1>
      <formula2>0</formula2>
    </dataValidation>
    <dataValidation allowBlank="true" errorStyle="stop" operator="between" showDropDown="false" showErrorMessage="true" showInputMessage="false" sqref="E2:E18" type="list">
      <formula1>"Junny Ko,Thomas Bruchig"</formula1>
      <formula2>0</formula2>
    </dataValidation>
    <dataValidation allowBlank="true" errorStyle="stop" operator="between" showDropDown="false" showErrorMessage="true" showInputMessage="false" sqref="I2:I18" type="list">
      <formula1>"Active,Terminated"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.63"/>
    <col collapsed="false" customWidth="true" hidden="false" outlineLevel="0" max="2" min="2" style="0" width="41.75"/>
    <col collapsed="false" customWidth="true" hidden="false" outlineLevel="0" max="3" min="3" style="0" width="17.25"/>
  </cols>
  <sheetData>
    <row r="1" customFormat="false" ht="22.5" hidden="false" customHeight="true" outlineLevel="0" collapsed="false">
      <c r="A1" s="16" t="s">
        <v>83</v>
      </c>
      <c r="B1" s="16" t="s">
        <v>88</v>
      </c>
      <c r="C1" s="16" t="s">
        <v>10</v>
      </c>
      <c r="D1" s="20"/>
      <c r="E1" s="20"/>
    </row>
    <row r="2" customFormat="false" ht="22.5" hidden="false" customHeight="true" outlineLevel="0" collapsed="false">
      <c r="A2" s="245" t="s">
        <v>813</v>
      </c>
      <c r="B2" s="246" t="s">
        <v>814</v>
      </c>
      <c r="C2" s="28" t="s">
        <v>815</v>
      </c>
    </row>
    <row r="3" customFormat="false" ht="22.5" hidden="false" customHeight="true" outlineLevel="0" collapsed="false">
      <c r="A3" s="247" t="s">
        <v>816</v>
      </c>
      <c r="B3" s="248" t="s">
        <v>817</v>
      </c>
      <c r="C3" s="42"/>
    </row>
    <row r="4" customFormat="false" ht="22.5" hidden="false" customHeight="true" outlineLevel="0" collapsed="false">
      <c r="A4" s="249" t="s">
        <v>818</v>
      </c>
      <c r="B4" s="162" t="s">
        <v>819</v>
      </c>
      <c r="C4" s="28"/>
    </row>
    <row r="5" customFormat="false" ht="22.5" hidden="false" customHeight="true" outlineLevel="0" collapsed="false">
      <c r="A5" s="247" t="s">
        <v>521</v>
      </c>
      <c r="B5" s="248" t="s">
        <v>820</v>
      </c>
      <c r="C5" s="42"/>
    </row>
    <row r="6" customFormat="false" ht="22.5" hidden="false" customHeight="true" outlineLevel="0" collapsed="false">
      <c r="A6" s="249" t="s">
        <v>821</v>
      </c>
      <c r="B6" s="250" t="s">
        <v>822</v>
      </c>
      <c r="C6" s="28"/>
    </row>
    <row r="7" customFormat="false" ht="22.5" hidden="false" customHeight="true" outlineLevel="0" collapsed="false">
      <c r="A7" s="247" t="s">
        <v>562</v>
      </c>
      <c r="B7" s="248" t="s">
        <v>823</v>
      </c>
      <c r="C7" s="42"/>
    </row>
    <row r="8" customFormat="false" ht="22.5" hidden="false" customHeight="true" outlineLevel="0" collapsed="false">
      <c r="A8" s="247" t="s">
        <v>562</v>
      </c>
      <c r="B8" s="162" t="s">
        <v>824</v>
      </c>
      <c r="C8" s="28"/>
    </row>
    <row r="9" customFormat="false" ht="22.5" hidden="false" customHeight="true" outlineLevel="0" collapsed="false">
      <c r="A9" s="247" t="s">
        <v>825</v>
      </c>
      <c r="B9" s="248" t="s">
        <v>826</v>
      </c>
      <c r="C9" s="42"/>
    </row>
    <row r="10" customFormat="false" ht="22.5" hidden="false" customHeight="true" outlineLevel="0" collapsed="false">
      <c r="A10" s="21"/>
      <c r="B10" s="162" t="s">
        <v>827</v>
      </c>
      <c r="C10" s="28"/>
    </row>
    <row r="11" customFormat="false" ht="22.5" hidden="false" customHeight="true" outlineLevel="0" collapsed="false">
      <c r="A11" s="245" t="s">
        <v>617</v>
      </c>
      <c r="B11" s="248" t="s">
        <v>828</v>
      </c>
      <c r="C11" s="42"/>
    </row>
    <row r="12" customFormat="false" ht="22.5" hidden="false" customHeight="true" outlineLevel="0" collapsed="false">
      <c r="A12" s="35"/>
      <c r="B12" s="251" t="s">
        <v>829</v>
      </c>
      <c r="C12" s="42"/>
    </row>
    <row r="13" customFormat="false" ht="22.5" hidden="false" customHeight="true" outlineLevel="0" collapsed="false">
      <c r="A13" s="249" t="s">
        <v>470</v>
      </c>
      <c r="B13" s="252" t="s">
        <v>830</v>
      </c>
      <c r="C13" s="28"/>
    </row>
    <row r="14" customFormat="false" ht="22.5" hidden="false" customHeight="true" outlineLevel="0" collapsed="false">
      <c r="A14" s="35"/>
      <c r="B14" s="251" t="s">
        <v>831</v>
      </c>
      <c r="C14" s="42"/>
    </row>
    <row r="15" customFormat="false" ht="22.5" hidden="false" customHeight="true" outlineLevel="0" collapsed="false">
      <c r="A15" s="247" t="s">
        <v>369</v>
      </c>
      <c r="B15" s="253" t="s">
        <v>832</v>
      </c>
      <c r="C15" s="47"/>
      <c r="D15" s="70"/>
      <c r="E15" s="70"/>
    </row>
    <row r="16" customFormat="false" ht="22.5" hidden="false" customHeight="true" outlineLevel="0" collapsed="false">
      <c r="A16" s="254"/>
      <c r="B16" s="251" t="s">
        <v>833</v>
      </c>
      <c r="C16" s="42"/>
    </row>
    <row r="17" customFormat="false" ht="22.5" hidden="false" customHeight="true" outlineLevel="0" collapsed="false">
      <c r="A17" s="249" t="s">
        <v>484</v>
      </c>
      <c r="B17" s="162" t="s">
        <v>834</v>
      </c>
      <c r="C17" s="28"/>
    </row>
    <row r="18" customFormat="false" ht="22.5" hidden="false" customHeight="true" outlineLevel="0" collapsed="false">
      <c r="A18" s="35"/>
      <c r="B18" s="251" t="s">
        <v>835</v>
      </c>
      <c r="C18" s="42"/>
    </row>
    <row r="19" customFormat="false" ht="22.5" hidden="false" customHeight="true" outlineLevel="0" collapsed="false">
      <c r="A19" s="247" t="s">
        <v>369</v>
      </c>
      <c r="B19" s="251" t="s">
        <v>836</v>
      </c>
      <c r="C19" s="42"/>
    </row>
    <row r="20" customFormat="false" ht="22.5" hidden="false" customHeight="true" outlineLevel="0" collapsed="false">
      <c r="A20" s="21"/>
      <c r="B20" s="252" t="s">
        <v>837</v>
      </c>
      <c r="C20" s="28"/>
    </row>
    <row r="21" customFormat="false" ht="22.5" hidden="false" customHeight="true" outlineLevel="0" collapsed="false">
      <c r="A21" s="35"/>
      <c r="B21" s="251" t="s">
        <v>838</v>
      </c>
      <c r="C21" s="42" t="s">
        <v>839</v>
      </c>
    </row>
    <row r="22" customFormat="false" ht="22.5" hidden="false" customHeight="true" outlineLevel="0" collapsed="false">
      <c r="A22" s="21"/>
      <c r="B22" s="162" t="s">
        <v>840</v>
      </c>
      <c r="C22" s="28"/>
    </row>
    <row r="23" customFormat="false" ht="22.5" hidden="false" customHeight="true" outlineLevel="0" collapsed="false">
      <c r="A23" s="247" t="s">
        <v>841</v>
      </c>
      <c r="B23" s="251" t="s">
        <v>842</v>
      </c>
      <c r="C23" s="42"/>
    </row>
    <row r="24" customFormat="false" ht="22.5" hidden="false" customHeight="true" outlineLevel="0" collapsed="false">
      <c r="A24" s="21"/>
      <c r="B24" s="162" t="s">
        <v>843</v>
      </c>
      <c r="C24" s="28"/>
    </row>
    <row r="25" customFormat="false" ht="22.5" hidden="false" customHeight="true" outlineLevel="0" collapsed="false">
      <c r="A25" s="247" t="s">
        <v>844</v>
      </c>
      <c r="B25" s="251" t="s">
        <v>733</v>
      </c>
      <c r="C25" s="42"/>
    </row>
    <row r="26" customFormat="false" ht="22.5" hidden="false" customHeight="true" outlineLevel="0" collapsed="false">
      <c r="A26" s="249" t="s">
        <v>845</v>
      </c>
      <c r="B26" s="162" t="s">
        <v>846</v>
      </c>
      <c r="C26" s="28"/>
    </row>
    <row r="27" customFormat="false" ht="22.5" hidden="false" customHeight="true" outlineLevel="0" collapsed="false">
      <c r="A27" s="35"/>
      <c r="B27" s="251" t="s">
        <v>847</v>
      </c>
      <c r="C27" s="42"/>
    </row>
    <row r="28" customFormat="false" ht="22.5" hidden="false" customHeight="true" outlineLevel="0" collapsed="false">
      <c r="A28" s="247" t="s">
        <v>848</v>
      </c>
      <c r="B28" s="251" t="s">
        <v>849</v>
      </c>
      <c r="C28" s="42"/>
    </row>
    <row r="29" customFormat="false" ht="22.5" hidden="false" customHeight="true" outlineLevel="0" collapsed="false">
      <c r="A29" s="21"/>
      <c r="B29" s="162" t="s">
        <v>850</v>
      </c>
      <c r="C29" s="28"/>
    </row>
    <row r="30" customFormat="false" ht="22.5" hidden="false" customHeight="true" outlineLevel="0" collapsed="false">
      <c r="A30" s="35"/>
      <c r="B30" s="251"/>
      <c r="C30" s="42"/>
    </row>
    <row r="31" customFormat="false" ht="22.5" hidden="false" customHeight="true" outlineLevel="0" collapsed="false">
      <c r="A31" s="21"/>
      <c r="B31" s="162"/>
      <c r="C31" s="28"/>
    </row>
    <row r="32" customFormat="false" ht="22.5" hidden="false" customHeight="true" outlineLevel="0" collapsed="false">
      <c r="A32" s="35"/>
      <c r="B32" s="251"/>
      <c r="C32" s="42"/>
    </row>
    <row r="33" customFormat="false" ht="22.5" hidden="false" customHeight="true" outlineLevel="0" collapsed="false">
      <c r="A33" s="21"/>
      <c r="B33" s="162"/>
      <c r="C33" s="28"/>
    </row>
    <row r="34" customFormat="false" ht="22.5" hidden="false" customHeight="true" outlineLevel="0" collapsed="false">
      <c r="A34" s="35"/>
      <c r="B34" s="251"/>
      <c r="C34" s="42"/>
    </row>
    <row r="35" customFormat="false" ht="22.5" hidden="false" customHeight="true" outlineLevel="0" collapsed="false">
      <c r="A35" s="21"/>
      <c r="B35" s="162"/>
      <c r="C35" s="28"/>
    </row>
    <row r="36" customFormat="false" ht="22.5" hidden="false" customHeight="true" outlineLevel="0" collapsed="false">
      <c r="A36" s="35"/>
      <c r="B36" s="251"/>
      <c r="C36" s="42"/>
    </row>
    <row r="37" customFormat="false" ht="22.5" hidden="false" customHeight="true" outlineLevel="0" collapsed="false">
      <c r="A37" s="21"/>
      <c r="B37" s="162"/>
      <c r="C37" s="28"/>
    </row>
    <row r="38" customFormat="false" ht="22.5" hidden="false" customHeight="true" outlineLevel="0" collapsed="false">
      <c r="A38" s="21"/>
      <c r="B38" s="162"/>
      <c r="C38" s="28"/>
    </row>
    <row r="39" customFormat="false" ht="22.5" hidden="false" customHeight="true" outlineLevel="0" collapsed="false">
      <c r="A39" s="35"/>
      <c r="B39" s="251"/>
      <c r="C39" s="42"/>
    </row>
    <row r="40" customFormat="false" ht="22.5" hidden="false" customHeight="true" outlineLevel="0" collapsed="false">
      <c r="A40" s="21"/>
      <c r="B40" s="162"/>
      <c r="C40" s="28"/>
    </row>
    <row r="41" customFormat="false" ht="22.5" hidden="false" customHeight="true" outlineLevel="0" collapsed="false">
      <c r="A41" s="35"/>
      <c r="B41" s="251"/>
      <c r="C41" s="42"/>
    </row>
    <row r="42" customFormat="false" ht="22.5" hidden="false" customHeight="true" outlineLevel="0" collapsed="false">
      <c r="A42" s="35"/>
      <c r="B42" s="251"/>
      <c r="C42" s="42"/>
    </row>
    <row r="43" customFormat="false" ht="22.5" hidden="false" customHeight="true" outlineLevel="0" collapsed="false">
      <c r="A43" s="21"/>
      <c r="B43" s="162"/>
      <c r="C43" s="28"/>
    </row>
    <row r="44" customFormat="false" ht="22.5" hidden="false" customHeight="true" outlineLevel="0" collapsed="false">
      <c r="A44" s="35"/>
      <c r="B44" s="251"/>
      <c r="C44" s="42"/>
    </row>
    <row r="45" customFormat="false" ht="22.5" hidden="false" customHeight="true" outlineLevel="0" collapsed="false">
      <c r="A45" s="21"/>
      <c r="B45" s="162"/>
      <c r="C45" s="28"/>
    </row>
    <row r="46" customFormat="false" ht="22.5" hidden="false" customHeight="true" outlineLevel="0" collapsed="false">
      <c r="A46" s="35"/>
      <c r="B46" s="251"/>
      <c r="C46" s="42"/>
    </row>
    <row r="47" customFormat="false" ht="22.5" hidden="false" customHeight="true" outlineLevel="0" collapsed="false">
      <c r="A47" s="21"/>
      <c r="B47" s="162"/>
      <c r="C47" s="28"/>
    </row>
    <row r="48" customFormat="false" ht="22.5" hidden="false" customHeight="true" outlineLevel="0" collapsed="false">
      <c r="A48" s="35"/>
      <c r="B48" s="251"/>
      <c r="C48" s="42"/>
    </row>
    <row r="49" customFormat="false" ht="22.5" hidden="false" customHeight="true" outlineLevel="0" collapsed="false">
      <c r="A49" s="21"/>
      <c r="B49" s="162"/>
      <c r="C49" s="28"/>
    </row>
    <row r="50" customFormat="false" ht="22.5" hidden="false" customHeight="true" outlineLevel="0" collapsed="false">
      <c r="A50" s="35"/>
      <c r="B50" s="251"/>
      <c r="C50" s="42"/>
    </row>
    <row r="51" customFormat="false" ht="22.5" hidden="false" customHeight="true" outlineLevel="0" collapsed="false">
      <c r="A51" s="21"/>
      <c r="B51" s="162"/>
      <c r="C51" s="28"/>
    </row>
    <row r="52" customFormat="false" ht="22.5" hidden="false" customHeight="true" outlineLevel="0" collapsed="false">
      <c r="A52" s="35"/>
      <c r="B52" s="251"/>
      <c r="C52" s="42"/>
    </row>
    <row r="53" customFormat="false" ht="22.5" hidden="false" customHeight="true" outlineLevel="0" collapsed="false">
      <c r="A53" s="21"/>
      <c r="B53" s="162"/>
      <c r="C53" s="28"/>
    </row>
    <row r="54" customFormat="false" ht="22.5" hidden="false" customHeight="true" outlineLevel="0" collapsed="false">
      <c r="A54" s="35"/>
      <c r="B54" s="251"/>
      <c r="C54" s="42"/>
    </row>
    <row r="55" customFormat="false" ht="22.5" hidden="false" customHeight="true" outlineLevel="0" collapsed="false">
      <c r="A55" s="21"/>
      <c r="B55" s="162"/>
      <c r="C55" s="28"/>
    </row>
    <row r="56" customFormat="false" ht="22.5" hidden="false" customHeight="true" outlineLevel="0" collapsed="false">
      <c r="A56" s="21"/>
      <c r="B56" s="162"/>
      <c r="C56" s="28"/>
    </row>
    <row r="57" customFormat="false" ht="22.5" hidden="false" customHeight="true" outlineLevel="0" collapsed="false">
      <c r="A57" s="35"/>
      <c r="B57" s="251"/>
      <c r="C57" s="42"/>
    </row>
    <row r="58" customFormat="false" ht="22.5" hidden="false" customHeight="true" outlineLevel="0" collapsed="false">
      <c r="A58" s="21"/>
      <c r="B58" s="162"/>
      <c r="C58" s="28"/>
    </row>
    <row r="59" customFormat="false" ht="22.5" hidden="false" customHeight="true" outlineLevel="0" collapsed="false">
      <c r="A59" s="35"/>
      <c r="B59" s="251"/>
      <c r="C59" s="42"/>
    </row>
    <row r="60" customFormat="false" ht="22.5" hidden="false" customHeight="true" outlineLevel="0" collapsed="false">
      <c r="A60" s="21"/>
      <c r="B60" s="162"/>
      <c r="C60" s="28"/>
    </row>
    <row r="61" customFormat="false" ht="22.5" hidden="false" customHeight="true" outlineLevel="0" collapsed="false">
      <c r="A61" s="35"/>
      <c r="B61" s="251"/>
      <c r="C61" s="42"/>
    </row>
    <row r="62" customFormat="false" ht="22.5" hidden="false" customHeight="true" outlineLevel="0" collapsed="false">
      <c r="A62" s="21"/>
      <c r="B62" s="162"/>
      <c r="C62" s="28"/>
    </row>
    <row r="63" customFormat="false" ht="22.5" hidden="false" customHeight="true" outlineLevel="0" collapsed="false">
      <c r="A63" s="21"/>
      <c r="B63" s="162"/>
      <c r="C63" s="28"/>
    </row>
    <row r="64" customFormat="false" ht="22.5" hidden="false" customHeight="true" outlineLevel="0" collapsed="false">
      <c r="A64" s="35"/>
      <c r="B64" s="251"/>
      <c r="C64" s="42"/>
    </row>
    <row r="65" customFormat="false" ht="22.5" hidden="false" customHeight="true" outlineLevel="0" collapsed="false">
      <c r="A65" s="47"/>
      <c r="B65" s="162"/>
      <c r="C65" s="28"/>
    </row>
    <row r="66" customFormat="false" ht="22.5" hidden="false" customHeight="true" outlineLevel="0" collapsed="false">
      <c r="A66" s="47"/>
      <c r="B66" s="162"/>
      <c r="C66" s="28"/>
    </row>
    <row r="67" customFormat="false" ht="22.5" hidden="false" customHeight="true" outlineLevel="0" collapsed="false">
      <c r="A67" s="52"/>
      <c r="B67" s="251"/>
      <c r="C67" s="42"/>
    </row>
    <row r="68" customFormat="false" ht="22.5" hidden="false" customHeight="true" outlineLevel="0" collapsed="false">
      <c r="A68" s="21"/>
      <c r="B68" s="162"/>
      <c r="C68" s="28"/>
    </row>
    <row r="69" customFormat="false" ht="22.5" hidden="false" customHeight="true" outlineLevel="0" collapsed="false">
      <c r="A69" s="35"/>
      <c r="B69" s="251"/>
      <c r="C69" s="42"/>
    </row>
    <row r="70" customFormat="false" ht="22.5" hidden="false" customHeight="true" outlineLevel="0" collapsed="false">
      <c r="A70" s="21"/>
      <c r="B70" s="162"/>
      <c r="C70" s="28"/>
    </row>
    <row r="71" customFormat="false" ht="22.5" hidden="false" customHeight="true" outlineLevel="0" collapsed="false">
      <c r="A71" s="105"/>
      <c r="B71" s="162"/>
      <c r="C71" s="28"/>
    </row>
    <row r="72" customFormat="false" ht="22.5" hidden="false" customHeight="true" outlineLevel="0" collapsed="false">
      <c r="A72" s="105"/>
      <c r="B72" s="251"/>
      <c r="C72" s="42"/>
    </row>
    <row r="73" customFormat="false" ht="22.5" hidden="false" customHeight="true" outlineLevel="0" collapsed="false">
      <c r="A73" s="105"/>
      <c r="B73" s="162"/>
      <c r="C73" s="28"/>
    </row>
    <row r="74" customFormat="false" ht="22.5" hidden="false" customHeight="true" outlineLevel="0" collapsed="false">
      <c r="A74" s="105"/>
      <c r="B74" s="251"/>
      <c r="C74" s="42"/>
    </row>
    <row r="75" customFormat="false" ht="22.5" hidden="false" customHeight="true" outlineLevel="0" collapsed="false">
      <c r="A75" s="105"/>
      <c r="B75" s="162"/>
      <c r="C75" s="28"/>
    </row>
    <row r="76" customFormat="false" ht="22.5" hidden="false" customHeight="true" outlineLevel="0" collapsed="false">
      <c r="A76" s="105"/>
      <c r="B76" s="251"/>
      <c r="C76" s="42"/>
    </row>
    <row r="77" customFormat="false" ht="22.5" hidden="false" customHeight="true" outlineLevel="0" collapsed="false">
      <c r="A77" s="105"/>
      <c r="B77" s="162"/>
      <c r="C77" s="28"/>
    </row>
    <row r="78" customFormat="false" ht="22.5" hidden="false" customHeight="true" outlineLevel="0" collapsed="false">
      <c r="A78" s="105"/>
      <c r="B78" s="251"/>
      <c r="C78" s="42"/>
    </row>
    <row r="79" customFormat="false" ht="22.5" hidden="false" customHeight="true" outlineLevel="0" collapsed="false">
      <c r="A79" s="113"/>
      <c r="B79" s="162"/>
      <c r="C79" s="28"/>
    </row>
    <row r="80" customFormat="false" ht="22.5" hidden="false" customHeight="true" outlineLevel="0" collapsed="false">
      <c r="A80" s="105"/>
      <c r="B80" s="251"/>
      <c r="C80" s="42"/>
    </row>
    <row r="81" customFormat="false" ht="22.5" hidden="false" customHeight="true" outlineLevel="0" collapsed="false">
      <c r="A81" s="113"/>
      <c r="B81" s="162"/>
      <c r="C81" s="28"/>
    </row>
    <row r="82" customFormat="false" ht="22.5" hidden="false" customHeight="true" outlineLevel="0" collapsed="false">
      <c r="A82" s="105"/>
      <c r="B82" s="251"/>
      <c r="C82" s="42"/>
    </row>
    <row r="83" customFormat="false" ht="22.5" hidden="false" customHeight="true" outlineLevel="0" collapsed="false">
      <c r="A83" s="113"/>
      <c r="B83" s="162"/>
      <c r="C83" s="28"/>
    </row>
    <row r="84" customFormat="false" ht="22.5" hidden="false" customHeight="true" outlineLevel="0" collapsed="false">
      <c r="A84" s="105"/>
      <c r="B84" s="251"/>
      <c r="C84" s="42"/>
    </row>
    <row r="85" customFormat="false" ht="22.5" hidden="false" customHeight="true" outlineLevel="0" collapsed="false">
      <c r="A85" s="113"/>
      <c r="B85" s="162"/>
      <c r="C85" s="28"/>
    </row>
    <row r="86" customFormat="false" ht="22.5" hidden="false" customHeight="true" outlineLevel="0" collapsed="false">
      <c r="A86" s="113"/>
      <c r="B86" s="251"/>
      <c r="C86" s="42"/>
    </row>
    <row r="87" customFormat="false" ht="22.5" hidden="false" customHeight="true" outlineLevel="0" collapsed="false">
      <c r="A87" s="113"/>
      <c r="B87" s="162"/>
      <c r="C87" s="28"/>
    </row>
    <row r="88" customFormat="false" ht="22.5" hidden="false" customHeight="true" outlineLevel="0" collapsed="false">
      <c r="A88" s="113"/>
      <c r="B88" s="251"/>
      <c r="C88" s="42"/>
    </row>
    <row r="89" customFormat="false" ht="22.5" hidden="false" customHeight="true" outlineLevel="0" collapsed="false">
      <c r="A89" s="113"/>
      <c r="B89" s="162"/>
      <c r="C89" s="28"/>
    </row>
    <row r="90" customFormat="false" ht="22.5" hidden="false" customHeight="true" outlineLevel="0" collapsed="false">
      <c r="A90" s="113"/>
      <c r="B90" s="251"/>
      <c r="C90" s="42"/>
    </row>
    <row r="91" customFormat="false" ht="22.5" hidden="false" customHeight="true" outlineLevel="0" collapsed="false">
      <c r="A91" s="113"/>
      <c r="B91" s="162"/>
      <c r="C91" s="28"/>
    </row>
    <row r="92" customFormat="false" ht="22.5" hidden="false" customHeight="true" outlineLevel="0" collapsed="false">
      <c r="A92" s="113"/>
      <c r="B92" s="251"/>
      <c r="C92" s="42"/>
    </row>
    <row r="93" customFormat="false" ht="22.5" hidden="false" customHeight="true" outlineLevel="0" collapsed="false">
      <c r="A93" s="113"/>
      <c r="B93" s="162"/>
      <c r="C93" s="28"/>
    </row>
    <row r="94" customFormat="false" ht="22.5" hidden="false" customHeight="true" outlineLevel="0" collapsed="false">
      <c r="A94" s="105"/>
      <c r="B94" s="251"/>
      <c r="C94" s="42"/>
    </row>
    <row r="95" customFormat="false" ht="22.5" hidden="false" customHeight="true" outlineLevel="0" collapsed="false">
      <c r="A95" s="113"/>
      <c r="B95" s="162"/>
      <c r="C95" s="28"/>
    </row>
    <row r="96" customFormat="false" ht="22.5" hidden="false" customHeight="true" outlineLevel="0" collapsed="false">
      <c r="A96" s="105"/>
      <c r="B96" s="251"/>
      <c r="C96" s="42"/>
    </row>
    <row r="97" customFormat="false" ht="22.5" hidden="false" customHeight="true" outlineLevel="0" collapsed="false">
      <c r="A97" s="52"/>
      <c r="B97" s="251"/>
      <c r="C97" s="42"/>
    </row>
    <row r="98" customFormat="false" ht="22.5" hidden="false" customHeight="true" outlineLevel="0" collapsed="false">
      <c r="A98" s="47"/>
      <c r="B98" s="162"/>
      <c r="C98" s="28"/>
    </row>
    <row r="99" customFormat="false" ht="22.5" hidden="false" customHeight="true" outlineLevel="0" collapsed="false">
      <c r="A99" s="105"/>
      <c r="B99" s="251"/>
      <c r="C99" s="42"/>
    </row>
    <row r="100" customFormat="false" ht="22.5" hidden="false" customHeight="true" outlineLevel="0" collapsed="false">
      <c r="A100" s="113"/>
      <c r="B100" s="162"/>
      <c r="C100" s="28"/>
    </row>
    <row r="101" customFormat="false" ht="22.5" hidden="false" customHeight="true" outlineLevel="0" collapsed="false">
      <c r="A101" s="113"/>
      <c r="B101" s="162"/>
      <c r="C101" s="28"/>
    </row>
    <row r="102" customFormat="false" ht="22.5" hidden="false" customHeight="true" outlineLevel="0" collapsed="false">
      <c r="A102" s="113"/>
      <c r="B102" s="162"/>
      <c r="C102" s="28"/>
    </row>
    <row r="103" customFormat="false" ht="22.5" hidden="false" customHeight="true" outlineLevel="0" collapsed="false">
      <c r="A103" s="113"/>
      <c r="B103" s="162"/>
      <c r="C103" s="28"/>
    </row>
    <row r="104" customFormat="false" ht="22.5" hidden="false" customHeight="true" outlineLevel="0" collapsed="false">
      <c r="A104" s="113"/>
      <c r="B104" s="162"/>
      <c r="C104" s="28"/>
    </row>
    <row r="105" customFormat="false" ht="22.5" hidden="false" customHeight="true" outlineLevel="0" collapsed="false">
      <c r="A105" s="105"/>
      <c r="B105" s="251"/>
      <c r="C105" s="42"/>
    </row>
    <row r="106" customFormat="false" ht="22.5" hidden="false" customHeight="true" outlineLevel="0" collapsed="false">
      <c r="A106" s="105"/>
      <c r="B106" s="251"/>
      <c r="C106" s="42"/>
    </row>
    <row r="107" customFormat="false" ht="22.5" hidden="false" customHeight="true" outlineLevel="0" collapsed="false">
      <c r="A107" s="113"/>
      <c r="B107" s="162"/>
      <c r="C107" s="28"/>
    </row>
    <row r="108" customFormat="false" ht="22.5" hidden="false" customHeight="true" outlineLevel="0" collapsed="false">
      <c r="A108" s="113"/>
      <c r="B108" s="162"/>
      <c r="C108" s="28"/>
    </row>
    <row r="109" customFormat="false" ht="22.5" hidden="false" customHeight="true" outlineLevel="0" collapsed="false">
      <c r="A109" s="52"/>
      <c r="B109" s="251"/>
      <c r="C109" s="42"/>
    </row>
    <row r="110" customFormat="false" ht="22.5" hidden="false" customHeight="true" outlineLevel="0" collapsed="false">
      <c r="A110" s="113"/>
      <c r="B110" s="162"/>
      <c r="C110" s="28"/>
    </row>
    <row r="111" customFormat="false" ht="22.5" hidden="false" customHeight="true" outlineLevel="0" collapsed="false">
      <c r="A111" s="113"/>
      <c r="B111" s="251"/>
      <c r="C111" s="42"/>
    </row>
    <row r="112" customFormat="false" ht="22.5" hidden="false" customHeight="true" outlineLevel="0" collapsed="false">
      <c r="A112" s="113"/>
      <c r="B112" s="162"/>
      <c r="C112" s="28"/>
    </row>
    <row r="113" customFormat="false" ht="22.5" hidden="false" customHeight="true" outlineLevel="0" collapsed="false">
      <c r="A113" s="113"/>
      <c r="B113" s="251"/>
      <c r="C113" s="42"/>
    </row>
    <row r="114" customFormat="false" ht="22.5" hidden="false" customHeight="true" outlineLevel="0" collapsed="false">
      <c r="A114" s="113"/>
      <c r="B114" s="162"/>
      <c r="C114" s="28"/>
    </row>
    <row r="115" customFormat="false" ht="22.5" hidden="false" customHeight="true" outlineLevel="0" collapsed="false">
      <c r="A115" s="113"/>
      <c r="B115" s="251"/>
      <c r="C115" s="42"/>
    </row>
    <row r="116" customFormat="false" ht="22.5" hidden="false" customHeight="true" outlineLevel="0" collapsed="false">
      <c r="A116" s="113"/>
      <c r="B116" s="162"/>
      <c r="C116" s="28"/>
    </row>
    <row r="117" customFormat="false" ht="22.5" hidden="false" customHeight="true" outlineLevel="0" collapsed="false">
      <c r="A117" s="113"/>
      <c r="B117" s="251"/>
      <c r="C117" s="42"/>
    </row>
    <row r="118" customFormat="false" ht="22.5" hidden="false" customHeight="true" outlineLevel="0" collapsed="false">
      <c r="A118" s="21"/>
      <c r="B118" s="162"/>
      <c r="C118" s="28"/>
    </row>
    <row r="119" customFormat="false" ht="22.5" hidden="false" customHeight="true" outlineLevel="0" collapsed="false">
      <c r="A119" s="105"/>
      <c r="B119" s="251"/>
      <c r="C119" s="42"/>
    </row>
    <row r="120" customFormat="false" ht="22.5" hidden="false" customHeight="true" outlineLevel="0" collapsed="false">
      <c r="A120" s="105"/>
      <c r="B120" s="251"/>
      <c r="C120" s="42"/>
    </row>
    <row r="121" customFormat="false" ht="22.5" hidden="false" customHeight="true" outlineLevel="0" collapsed="false">
      <c r="A121" s="105"/>
      <c r="B121" s="162"/>
      <c r="C121" s="28"/>
    </row>
    <row r="122" customFormat="false" ht="22.5" hidden="false" customHeight="true" outlineLevel="0" collapsed="false">
      <c r="A122" s="113"/>
      <c r="B122" s="162"/>
      <c r="C122" s="28"/>
    </row>
    <row r="123" customFormat="false" ht="22.5" hidden="false" customHeight="true" outlineLevel="0" collapsed="false">
      <c r="A123" s="113"/>
      <c r="B123" s="162"/>
      <c r="C123" s="28"/>
    </row>
    <row r="124" customFormat="false" ht="22.5" hidden="false" customHeight="true" outlineLevel="0" collapsed="false">
      <c r="A124" s="113"/>
      <c r="B124" s="251"/>
      <c r="C124" s="42"/>
    </row>
    <row r="125" customFormat="false" ht="22.5" hidden="false" customHeight="true" outlineLevel="0" collapsed="false">
      <c r="A125" s="113"/>
      <c r="B125" s="162"/>
      <c r="C125" s="28"/>
    </row>
    <row r="126" customFormat="false" ht="22.5" hidden="false" customHeight="true" outlineLevel="0" collapsed="false">
      <c r="A126" s="137"/>
      <c r="B126" s="138"/>
      <c r="C126" s="138"/>
    </row>
    <row r="127" customFormat="false" ht="22.5" hidden="false" customHeight="true" outlineLevel="0" collapsed="false">
      <c r="A127" s="137"/>
      <c r="B127" s="138"/>
      <c r="C127" s="138"/>
    </row>
    <row r="128" customFormat="false" ht="22.5" hidden="false" customHeight="true" outlineLevel="0" collapsed="false">
      <c r="A128" s="137"/>
      <c r="B128" s="138"/>
      <c r="C128" s="138"/>
    </row>
    <row r="129" customFormat="false" ht="22.5" hidden="false" customHeight="true" outlineLevel="0" collapsed="false">
      <c r="A129" s="137"/>
      <c r="B129" s="255"/>
      <c r="C129" s="138"/>
    </row>
    <row r="130" customFormat="false" ht="22.5" hidden="false" customHeight="true" outlineLevel="0" collapsed="false">
      <c r="A130" s="137"/>
      <c r="B130" s="255"/>
      <c r="C130" s="138"/>
    </row>
    <row r="131" customFormat="false" ht="22.5" hidden="false" customHeight="true" outlineLevel="0" collapsed="false">
      <c r="A131" s="137"/>
      <c r="B131" s="256"/>
      <c r="C131" s="138"/>
    </row>
    <row r="132" customFormat="false" ht="22.5" hidden="false" customHeight="true" outlineLevel="0" collapsed="false">
      <c r="A132" s="137"/>
      <c r="B132" s="255"/>
      <c r="C132" s="138"/>
    </row>
    <row r="133" customFormat="false" ht="22.5" hidden="false" customHeight="true" outlineLevel="0" collapsed="false">
      <c r="A133" s="137"/>
      <c r="B133" s="255"/>
      <c r="C133" s="138"/>
    </row>
    <row r="134" customFormat="false" ht="22.5" hidden="false" customHeight="true" outlineLevel="0" collapsed="false">
      <c r="A134" s="137"/>
      <c r="B134" s="256"/>
      <c r="C134" s="138"/>
    </row>
    <row r="135" customFormat="false" ht="22.5" hidden="false" customHeight="true" outlineLevel="0" collapsed="false">
      <c r="A135" s="137"/>
      <c r="B135" s="255"/>
      <c r="C135" s="138"/>
    </row>
    <row r="136" customFormat="false" ht="22.5" hidden="false" customHeight="true" outlineLevel="0" collapsed="false">
      <c r="A136" s="137"/>
      <c r="B136" s="256"/>
      <c r="C136" s="138"/>
    </row>
    <row r="137" customFormat="false" ht="22.5" hidden="false" customHeight="true" outlineLevel="0" collapsed="false">
      <c r="A137" s="137"/>
      <c r="B137" s="257"/>
      <c r="C137" s="138"/>
    </row>
    <row r="138" customFormat="false" ht="22.5" hidden="false" customHeight="true" outlineLevel="0" collapsed="false">
      <c r="A138" s="137"/>
      <c r="B138" s="257"/>
      <c r="C138" s="138"/>
    </row>
    <row r="139" customFormat="false" ht="22.5" hidden="false" customHeight="true" outlineLevel="0" collapsed="false">
      <c r="A139" s="137"/>
      <c r="B139" s="257"/>
      <c r="C139" s="138"/>
    </row>
    <row r="140" customFormat="false" ht="22.5" hidden="false" customHeight="true" outlineLevel="0" collapsed="false">
      <c r="A140" s="137"/>
      <c r="B140" s="257"/>
      <c r="C140" s="138"/>
    </row>
    <row r="141" customFormat="false" ht="22.5" hidden="false" customHeight="true" outlineLevel="0" collapsed="false">
      <c r="A141" s="137"/>
      <c r="B141" s="257"/>
      <c r="C141" s="138"/>
    </row>
    <row r="142" customFormat="false" ht="22.5" hidden="false" customHeight="true" outlineLevel="0" collapsed="false">
      <c r="A142" s="137"/>
      <c r="B142" s="257"/>
      <c r="C142" s="138"/>
    </row>
    <row r="143" customFormat="false" ht="22.5" hidden="false" customHeight="true" outlineLevel="0" collapsed="false">
      <c r="A143" s="137"/>
      <c r="B143" s="257"/>
      <c r="C143" s="138"/>
    </row>
    <row r="144" customFormat="false" ht="22.5" hidden="false" customHeight="true" outlineLevel="0" collapsed="false">
      <c r="A144" s="137"/>
      <c r="B144" s="257"/>
      <c r="C144" s="138"/>
    </row>
    <row r="145" customFormat="false" ht="22.5" hidden="false" customHeight="true" outlineLevel="0" collapsed="false">
      <c r="A145" s="137"/>
      <c r="B145" s="257"/>
      <c r="C145" s="138"/>
    </row>
    <row r="146" customFormat="false" ht="22.5" hidden="false" customHeight="true" outlineLevel="0" collapsed="false">
      <c r="A146" s="137"/>
      <c r="B146" s="257"/>
      <c r="C146" s="138"/>
    </row>
    <row r="147" customFormat="false" ht="22.5" hidden="false" customHeight="true" outlineLevel="0" collapsed="false">
      <c r="A147" s="137"/>
      <c r="B147" s="257"/>
      <c r="C147" s="138"/>
    </row>
    <row r="148" customFormat="false" ht="22.5" hidden="false" customHeight="true" outlineLevel="0" collapsed="false">
      <c r="A148" s="137"/>
      <c r="B148" s="257"/>
      <c r="C148" s="138"/>
    </row>
    <row r="149" customFormat="false" ht="22.5" hidden="false" customHeight="true" outlineLevel="0" collapsed="false">
      <c r="A149" s="137"/>
      <c r="B149" s="257"/>
      <c r="C149" s="138"/>
    </row>
    <row r="150" customFormat="false" ht="22.5" hidden="false" customHeight="true" outlineLevel="0" collapsed="false">
      <c r="A150" s="137"/>
      <c r="B150" s="257"/>
      <c r="C150" s="138"/>
    </row>
    <row r="151" customFormat="false" ht="22.5" hidden="false" customHeight="true" outlineLevel="0" collapsed="false">
      <c r="A151" s="137"/>
      <c r="B151" s="257"/>
      <c r="C151" s="138"/>
    </row>
    <row r="152" customFormat="false" ht="22.5" hidden="false" customHeight="true" outlineLevel="0" collapsed="false">
      <c r="A152" s="137"/>
      <c r="B152" s="257"/>
      <c r="C152" s="138"/>
    </row>
    <row r="153" customFormat="false" ht="22.5" hidden="false" customHeight="true" outlineLevel="0" collapsed="false">
      <c r="A153" s="137"/>
      <c r="B153" s="257"/>
      <c r="C153" s="138"/>
    </row>
    <row r="154" customFormat="false" ht="22.5" hidden="false" customHeight="true" outlineLevel="0" collapsed="false">
      <c r="A154" s="137"/>
      <c r="B154" s="257"/>
      <c r="C154" s="138"/>
    </row>
    <row r="155" customFormat="false" ht="22.5" hidden="false" customHeight="true" outlineLevel="0" collapsed="false">
      <c r="A155" s="137"/>
      <c r="B155" s="257"/>
      <c r="C155" s="138"/>
    </row>
    <row r="156" customFormat="false" ht="22.5" hidden="false" customHeight="true" outlineLevel="0" collapsed="false">
      <c r="A156" s="137"/>
      <c r="B156" s="257"/>
      <c r="C156" s="138"/>
    </row>
    <row r="157" customFormat="false" ht="22.5" hidden="false" customHeight="true" outlineLevel="0" collapsed="false">
      <c r="A157" s="137"/>
      <c r="B157" s="257"/>
      <c r="C157" s="138"/>
    </row>
    <row r="158" customFormat="false" ht="22.5" hidden="false" customHeight="true" outlineLevel="0" collapsed="false">
      <c r="A158" s="137"/>
      <c r="B158" s="257"/>
      <c r="C158" s="138"/>
    </row>
    <row r="159" customFormat="false" ht="22.5" hidden="false" customHeight="true" outlineLevel="0" collapsed="false">
      <c r="A159" s="137"/>
      <c r="B159" s="257"/>
      <c r="C159" s="138"/>
    </row>
    <row r="160" customFormat="false" ht="22.5" hidden="false" customHeight="true" outlineLevel="0" collapsed="false">
      <c r="A160" s="137"/>
      <c r="B160" s="257"/>
      <c r="C160" s="138"/>
    </row>
    <row r="161" customFormat="false" ht="22.5" hidden="false" customHeight="true" outlineLevel="0" collapsed="false">
      <c r="A161" s="137"/>
      <c r="B161" s="257"/>
      <c r="C161" s="138"/>
    </row>
    <row r="162" customFormat="false" ht="22.5" hidden="false" customHeight="true" outlineLevel="0" collapsed="false">
      <c r="A162" s="137"/>
      <c r="B162" s="257"/>
      <c r="C162" s="138"/>
    </row>
    <row r="163" customFormat="false" ht="22.5" hidden="false" customHeight="true" outlineLevel="0" collapsed="false">
      <c r="A163" s="137"/>
      <c r="B163" s="258"/>
      <c r="C163" s="138"/>
    </row>
    <row r="164" customFormat="false" ht="22.5" hidden="false" customHeight="true" outlineLevel="0" collapsed="false">
      <c r="A164" s="137"/>
      <c r="B164" s="258"/>
      <c r="C164" s="138"/>
    </row>
    <row r="165" customFormat="false" ht="22.5" hidden="false" customHeight="true" outlineLevel="0" collapsed="false">
      <c r="A165" s="137"/>
      <c r="B165" s="258"/>
      <c r="C165" s="138"/>
    </row>
    <row r="166" customFormat="false" ht="22.5" hidden="false" customHeight="true" outlineLevel="0" collapsed="false">
      <c r="A166" s="137"/>
      <c r="B166" s="258"/>
      <c r="C166" s="138"/>
    </row>
    <row r="167" customFormat="false" ht="22.5" hidden="false" customHeight="true" outlineLevel="0" collapsed="false">
      <c r="A167" s="137"/>
      <c r="B167" s="259"/>
      <c r="C167" s="138"/>
    </row>
    <row r="168" customFormat="false" ht="22.5" hidden="false" customHeight="true" outlineLevel="0" collapsed="false">
      <c r="A168" s="137"/>
      <c r="B168" s="258"/>
      <c r="C168" s="138"/>
      <c r="D168" s="168"/>
    </row>
    <row r="169" customFormat="false" ht="22.5" hidden="false" customHeight="true" outlineLevel="0" collapsed="false">
      <c r="A169" s="138"/>
      <c r="B169" s="258"/>
      <c r="C169" s="138"/>
      <c r="D169" s="171"/>
      <c r="E169" s="70"/>
    </row>
    <row r="170" customFormat="false" ht="22.5" hidden="false" customHeight="true" outlineLevel="0" collapsed="false">
      <c r="A170" s="137"/>
      <c r="B170" s="258"/>
      <c r="C170" s="138"/>
      <c r="D170" s="171"/>
      <c r="E170" s="70"/>
    </row>
    <row r="171" customFormat="false" ht="22.5" hidden="false" customHeight="true" outlineLevel="0" collapsed="false">
      <c r="A171" s="137"/>
      <c r="B171" s="260"/>
      <c r="C171" s="138"/>
      <c r="D171" s="171"/>
      <c r="E171" s="70"/>
    </row>
    <row r="172" customFormat="false" ht="22.5" hidden="false" customHeight="true" outlineLevel="0" collapsed="false">
      <c r="A172" s="137"/>
      <c r="B172" s="260"/>
      <c r="C172" s="138"/>
      <c r="D172" s="171"/>
      <c r="E172" s="70"/>
    </row>
  </sheetData>
  <conditionalFormatting sqref="B144:B954">
    <cfRule type="expression" priority="2" aboveAverage="0" equalAverage="0" bottom="0" percent="0" rank="0" text="" dxfId="21">
      <formula>#ref!="Terminated"</formula>
    </cfRule>
  </conditionalFormatting>
  <conditionalFormatting sqref="B168">
    <cfRule type="expression" priority="3" aboveAverage="0" equalAverage="0" bottom="0" percent="0" rank="0" text="" dxfId="21">
      <formula>#ref!="Terminated"</formula>
    </cfRule>
  </conditionalFormatting>
  <conditionalFormatting sqref="A144:A954">
    <cfRule type="expression" priority="4" aboveAverage="0" equalAverage="0" bottom="0" percent="0" rank="0" text="" dxfId="21">
      <formula>#ref!="Terminated"</formula>
    </cfRule>
  </conditionalFormatting>
  <conditionalFormatting sqref="B123:B125">
    <cfRule type="expression" priority="5" aboveAverage="0" equalAverage="0" bottom="0" percent="0" rank="0" text="" dxfId="21">
      <formula>#ref!="Terminated"</formula>
    </cfRule>
    <cfRule type="expression" priority="6" aboveAverage="0" equalAverage="0" bottom="0" percent="0" rank="0" text="" dxfId="21">
      <formula>#ref!="Terminated"</formula>
    </cfRule>
  </conditionalFormatting>
  <conditionalFormatting sqref="A123:A125">
    <cfRule type="expression" priority="7" aboveAverage="0" equalAverage="0" bottom="0" percent="0" rank="0" text="" dxfId="21">
      <formula>#ref!="Terminated"</formula>
    </cfRule>
  </conditionalFormatting>
  <conditionalFormatting sqref="B122">
    <cfRule type="expression" priority="8" aboveAverage="0" equalAverage="0" bottom="0" percent="0" rank="0" text="" dxfId="21">
      <formula>#ref!="Terminated"</formula>
    </cfRule>
    <cfRule type="expression" priority="9" aboveAverage="0" equalAverage="0" bottom="0" percent="0" rank="0" text="" dxfId="21">
      <formula>#ref!="Terminated"</formula>
    </cfRule>
  </conditionalFormatting>
  <conditionalFormatting sqref="A122">
    <cfRule type="expression" priority="10" aboveAverage="0" equalAverage="0" bottom="0" percent="0" rank="0" text="" dxfId="21">
      <formula>#ref!="Terminated"</formula>
    </cfRule>
  </conditionalFormatting>
  <conditionalFormatting sqref="B120:B121">
    <cfRule type="expression" priority="11" aboveAverage="0" equalAverage="0" bottom="0" percent="0" rank="0" text="" dxfId="21">
      <formula>#ref!="Terminated"</formula>
    </cfRule>
    <cfRule type="expression" priority="12" aboveAverage="0" equalAverage="0" bottom="0" percent="0" rank="0" text="" dxfId="21">
      <formula>#ref!="Terminated"</formula>
    </cfRule>
  </conditionalFormatting>
  <conditionalFormatting sqref="A120:A121">
    <cfRule type="expression" priority="13" aboveAverage="0" equalAverage="0" bottom="0" percent="0" rank="0" text="" dxfId="21">
      <formula>#ref!="Terminated"</formula>
    </cfRule>
  </conditionalFormatting>
  <conditionalFormatting sqref="B108:B119">
    <cfRule type="expression" priority="14" aboveAverage="0" equalAverage="0" bottom="0" percent="0" rank="0" text="" dxfId="21">
      <formula>#ref!="Terminated"</formula>
    </cfRule>
    <cfRule type="expression" priority="15" aboveAverage="0" equalAverage="0" bottom="0" percent="0" rank="0" text="" dxfId="21">
      <formula>#ref!="Terminated"</formula>
    </cfRule>
  </conditionalFormatting>
  <conditionalFormatting sqref="A108:A119">
    <cfRule type="expression" priority="16" aboveAverage="0" equalAverage="0" bottom="0" percent="0" rank="0" text="" dxfId="21">
      <formula>#ref!="Terminated"</formula>
    </cfRule>
  </conditionalFormatting>
  <conditionalFormatting sqref="B106:B107">
    <cfRule type="expression" priority="17" aboveAverage="0" equalAverage="0" bottom="0" percent="0" rank="0" text="" dxfId="21">
      <formula>#ref!="Terminated"</formula>
    </cfRule>
    <cfRule type="expression" priority="18" aboveAverage="0" equalAverage="0" bottom="0" percent="0" rank="0" text="" dxfId="21">
      <formula>#ref!="Terminated"</formula>
    </cfRule>
  </conditionalFormatting>
  <conditionalFormatting sqref="A106:A107">
    <cfRule type="expression" priority="19" aboveAverage="0" equalAverage="0" bottom="0" percent="0" rank="0" text="" dxfId="21">
      <formula>#ref!="Terminated"</formula>
    </cfRule>
  </conditionalFormatting>
  <conditionalFormatting sqref="B104:B105">
    <cfRule type="expression" priority="20" aboveAverage="0" equalAverage="0" bottom="0" percent="0" rank="0" text="" dxfId="21">
      <formula>#ref!="Terminated"</formula>
    </cfRule>
    <cfRule type="expression" priority="21" aboveAverage="0" equalAverage="0" bottom="0" percent="0" rank="0" text="" dxfId="21">
      <formula>#ref!="Terminated"</formula>
    </cfRule>
  </conditionalFormatting>
  <conditionalFormatting sqref="A104:A105">
    <cfRule type="expression" priority="22" aboveAverage="0" equalAverage="0" bottom="0" percent="0" rank="0" text="" dxfId="21">
      <formula>#ref!="Terminated"</formula>
    </cfRule>
  </conditionalFormatting>
  <conditionalFormatting sqref="B102:B103">
    <cfRule type="expression" priority="23" aboveAverage="0" equalAverage="0" bottom="0" percent="0" rank="0" text="" dxfId="21">
      <formula>#ref!="Terminated"</formula>
    </cfRule>
    <cfRule type="expression" priority="24" aboveAverage="0" equalAverage="0" bottom="0" percent="0" rank="0" text="" dxfId="21">
      <formula>#ref!="Terminated"</formula>
    </cfRule>
  </conditionalFormatting>
  <conditionalFormatting sqref="A102:A103">
    <cfRule type="expression" priority="25" aboveAverage="0" equalAverage="0" bottom="0" percent="0" rank="0" text="" dxfId="21">
      <formula>#ref!="Terminated"</formula>
    </cfRule>
  </conditionalFormatting>
  <conditionalFormatting sqref="B101">
    <cfRule type="expression" priority="26" aboveAverage="0" equalAverage="0" bottom="0" percent="0" rank="0" text="" dxfId="21">
      <formula>#ref!="Terminated"</formula>
    </cfRule>
    <cfRule type="expression" priority="27" aboveAverage="0" equalAverage="0" bottom="0" percent="0" rank="0" text="" dxfId="21">
      <formula>#ref!="Terminated"</formula>
    </cfRule>
  </conditionalFormatting>
  <conditionalFormatting sqref="A101">
    <cfRule type="expression" priority="28" aboveAverage="0" equalAverage="0" bottom="0" percent="0" rank="0" text="" dxfId="21">
      <formula>#ref!="Terminated"</formula>
    </cfRule>
  </conditionalFormatting>
  <conditionalFormatting sqref="B99:B100">
    <cfRule type="expression" priority="29" aboveAverage="0" equalAverage="0" bottom="0" percent="0" rank="0" text="" dxfId="21">
      <formula>#ref!="Terminated"</formula>
    </cfRule>
    <cfRule type="expression" priority="30" aboveAverage="0" equalAverage="0" bottom="0" percent="0" rank="0" text="" dxfId="21">
      <formula>#ref!="Terminated"</formula>
    </cfRule>
  </conditionalFormatting>
  <conditionalFormatting sqref="A99:A100">
    <cfRule type="expression" priority="31" aboveAverage="0" equalAverage="0" bottom="0" percent="0" rank="0" text="" dxfId="21">
      <formula>#ref!="Terminated"</formula>
    </cfRule>
  </conditionalFormatting>
  <conditionalFormatting sqref="B97:B98">
    <cfRule type="expression" priority="32" aboveAverage="0" equalAverage="0" bottom="0" percent="0" rank="0" text="" dxfId="21">
      <formula>#ref!="Terminated"</formula>
    </cfRule>
    <cfRule type="expression" priority="33" aboveAverage="0" equalAverage="0" bottom="0" percent="0" rank="0" text="" dxfId="21">
      <formula>#ref!="Terminated"</formula>
    </cfRule>
  </conditionalFormatting>
  <conditionalFormatting sqref="A97:A98">
    <cfRule type="expression" priority="34" aboveAverage="0" equalAverage="0" bottom="0" percent="0" rank="0" text="" dxfId="21">
      <formula>#ref!="Terminated"</formula>
    </cfRule>
  </conditionalFormatting>
  <conditionalFormatting sqref="B73:B82 B84:B93 B95:B96">
    <cfRule type="expression" priority="35" aboveAverage="0" equalAverage="0" bottom="0" percent="0" rank="0" text="" dxfId="21">
      <formula>#ref!="Terminated"</formula>
    </cfRule>
  </conditionalFormatting>
  <conditionalFormatting sqref="B73:B96">
    <cfRule type="expression" priority="36" aboveAverage="0" equalAverage="0" bottom="0" percent="0" rank="0" text="" dxfId="21">
      <formula>#ref!="Terminated"</formula>
    </cfRule>
  </conditionalFormatting>
  <conditionalFormatting sqref="A73:A96">
    <cfRule type="expression" priority="37" aboveAverage="0" equalAverage="0" bottom="0" percent="0" rank="0" text="" dxfId="21">
      <formula>#ref!="Terminated"</formula>
    </cfRule>
  </conditionalFormatting>
  <conditionalFormatting sqref="B71:B72">
    <cfRule type="expression" priority="38" aboveAverage="0" equalAverage="0" bottom="0" percent="0" rank="0" text="" dxfId="21">
      <formula>#ref!="Terminated"</formula>
    </cfRule>
    <cfRule type="expression" priority="39" aboveAverage="0" equalAverage="0" bottom="0" percent="0" rank="0" text="" dxfId="21">
      <formula>#ref!="Terminated"</formula>
    </cfRule>
  </conditionalFormatting>
  <conditionalFormatting sqref="A71:A72">
    <cfRule type="expression" priority="40" aboveAverage="0" equalAverage="0" bottom="0" percent="0" rank="0" text="" dxfId="21">
      <formula>#ref!="Terminated"</formula>
    </cfRule>
  </conditionalFormatting>
  <conditionalFormatting sqref="B66:B70">
    <cfRule type="expression" priority="41" aboveAverage="0" equalAverage="0" bottom="0" percent="0" rank="0" text="" dxfId="21">
      <formula>#ref!="Terminated"</formula>
    </cfRule>
    <cfRule type="expression" priority="42" aboveAverage="0" equalAverage="0" bottom="0" percent="0" rank="0" text="" dxfId="21">
      <formula>#ref!="Terminated"</formula>
    </cfRule>
  </conditionalFormatting>
  <conditionalFormatting sqref="A66:A70">
    <cfRule type="expression" priority="43" aboveAverage="0" equalAverage="0" bottom="0" percent="0" rank="0" text="" dxfId="21">
      <formula>#ref!="Terminated"</formula>
    </cfRule>
  </conditionalFormatting>
  <conditionalFormatting sqref="B63:B65">
    <cfRule type="expression" priority="44" aboveAverage="0" equalAverage="0" bottom="0" percent="0" rank="0" text="" dxfId="21">
      <formula>#ref!="Terminated"</formula>
    </cfRule>
  </conditionalFormatting>
  <conditionalFormatting sqref="A63:A65">
    <cfRule type="expression" priority="45" aboveAverage="0" equalAverage="0" bottom="0" percent="0" rank="0" text="" dxfId="21">
      <formula>#ref!="Terminated"</formula>
    </cfRule>
  </conditionalFormatting>
  <conditionalFormatting sqref="B56:B62">
    <cfRule type="expression" priority="46" aboveAverage="0" equalAverage="0" bottom="0" percent="0" rank="0" text="" dxfId="21">
      <formula>#ref!="Terminated"</formula>
    </cfRule>
  </conditionalFormatting>
  <conditionalFormatting sqref="A56:A62">
    <cfRule type="expression" priority="47" aboveAverage="0" equalAverage="0" bottom="0" percent="0" rank="0" text="" dxfId="21">
      <formula>#ref!="Terminated"</formula>
    </cfRule>
  </conditionalFormatting>
  <conditionalFormatting sqref="B42:B55">
    <cfRule type="expression" priority="48" aboveAverage="0" equalAverage="0" bottom="0" percent="0" rank="0" text="" dxfId="21">
      <formula>#ref!="Terminated"</formula>
    </cfRule>
  </conditionalFormatting>
  <conditionalFormatting sqref="A42:A55">
    <cfRule type="expression" priority="49" aboveAverage="0" equalAverage="0" bottom="0" percent="0" rank="0" text="" dxfId="21">
      <formula>#ref!="Terminated"</formula>
    </cfRule>
  </conditionalFormatting>
  <conditionalFormatting sqref="B38:B41">
    <cfRule type="expression" priority="50" aboveAverage="0" equalAverage="0" bottom="0" percent="0" rank="0" text="" dxfId="21">
      <formula>#ref!="Terminated"</formula>
    </cfRule>
  </conditionalFormatting>
  <conditionalFormatting sqref="A38:A41">
    <cfRule type="expression" priority="51" aboveAverage="0" equalAverage="0" bottom="0" percent="0" rank="0" text="" dxfId="21">
      <formula>#ref!="Terminated"</formula>
    </cfRule>
  </conditionalFormatting>
  <conditionalFormatting sqref="B28:B37">
    <cfRule type="expression" priority="52" aboveAverage="0" equalAverage="0" bottom="0" percent="0" rank="0" text="" dxfId="21">
      <formula>#ref!="Terminated"</formula>
    </cfRule>
  </conditionalFormatting>
  <conditionalFormatting sqref="A28:A37">
    <cfRule type="expression" priority="53" aboveAverage="0" equalAverage="0" bottom="0" percent="0" rank="0" text="" dxfId="21">
      <formula>#ref!="Terminated"</formula>
    </cfRule>
  </conditionalFormatting>
  <conditionalFormatting sqref="B19:B27">
    <cfRule type="expression" priority="54" aboveAverage="0" equalAverage="0" bottom="0" percent="0" rank="0" text="" dxfId="21">
      <formula>#ref!="Terminated"</formula>
    </cfRule>
  </conditionalFormatting>
  <conditionalFormatting sqref="A19:A27">
    <cfRule type="expression" priority="55" aboveAverage="0" equalAverage="0" bottom="0" percent="0" rank="0" text="" dxfId="21">
      <formula>#ref!="Terminated"</formula>
    </cfRule>
  </conditionalFormatting>
  <conditionalFormatting sqref="B12:B18">
    <cfRule type="expression" priority="56" aboveAverage="0" equalAverage="0" bottom="0" percent="0" rank="0" text="" dxfId="21">
      <formula>#ref!="Terminated"</formula>
    </cfRule>
  </conditionalFormatting>
  <conditionalFormatting sqref="A12:A18">
    <cfRule type="expression" priority="57" aboveAverage="0" equalAverage="0" bottom="0" percent="0" rank="0" text="" dxfId="21">
      <formula>#ref!="Terminated"</formula>
    </cfRule>
  </conditionalFormatting>
  <conditionalFormatting sqref="B3:B11">
    <cfRule type="expression" priority="58" aboveAverage="0" equalAverage="0" bottom="0" percent="0" rank="0" text="" dxfId="21">
      <formula>#ref!="Terminated"</formula>
    </cfRule>
  </conditionalFormatting>
  <conditionalFormatting sqref="A3:A11">
    <cfRule type="expression" priority="59" aboveAverage="0" equalAverage="0" bottom="0" percent="0" rank="0" text="" dxfId="21">
      <formula>#ref!="Terminated"</formula>
    </cfRule>
  </conditionalFormatting>
  <conditionalFormatting sqref="B2">
    <cfRule type="expression" priority="60" aboveAverage="0" equalAverage="0" bottom="0" percent="0" rank="0" text="" dxfId="21">
      <formula>#ref!="Terminated"</formula>
    </cfRule>
  </conditionalFormatting>
  <conditionalFormatting sqref="A2">
    <cfRule type="expression" priority="61" aboveAverage="0" equalAverage="0" bottom="0" percent="0" rank="0" text="" dxfId="21">
      <formula>#ref!="Terminated"</formula>
    </cfRule>
  </conditionalFormatting>
  <dataValidations count="1">
    <dataValidation allowBlank="true" errorStyle="stop" operator="between" showDropDown="true" showErrorMessage="false" showInputMessage="false" sqref="A2:A172" type="custom">
      <formula1>OR(NOT(ISERROR(DATEVALUE(A2))), AND(ISNUMBER(A2), LEFT(CELL("format", A2))="D"))</formula1>
      <formula2>0</formula2>
    </dataValidation>
  </dataValidations>
  <hyperlinks>
    <hyperlink ref="A2" r:id="rId1" location="/app/property/92" display="63 Corner Glen Crois. NE 501"/>
    <hyperlink ref="A11" r:id="rId2" location="/app/property/82" display="133 Pantego Road Northwe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0" width="22.5"/>
    <col collapsed="false" customWidth="true" hidden="false" outlineLevel="0" max="5" min="5" style="0" width="6.63"/>
    <col collapsed="false" customWidth="true" hidden="false" outlineLevel="0" max="6" min="6" style="0" width="11.89"/>
    <col collapsed="false" customWidth="true" hidden="false" outlineLevel="0" max="7" min="7" style="0" width="15.88"/>
    <col collapsed="false" customWidth="true" hidden="false" outlineLevel="0" max="8" min="8" style="0" width="13.38"/>
    <col collapsed="false" customWidth="true" hidden="false" outlineLevel="0" max="9" min="9" style="0" width="26.12"/>
    <col collapsed="false" customWidth="true" hidden="false" outlineLevel="0" max="10" min="10" style="0" width="14.88"/>
    <col collapsed="false" customWidth="true" hidden="false" outlineLevel="0" max="11" min="11" style="0" width="16"/>
  </cols>
  <sheetData>
    <row r="1" customFormat="false" ht="26.85" hidden="false" customHeight="true" outlineLevel="0" collapsed="false">
      <c r="A1" s="261" t="s">
        <v>851</v>
      </c>
      <c r="B1" s="261"/>
      <c r="D1" s="262" t="s">
        <v>852</v>
      </c>
      <c r="E1" s="263" t="s">
        <v>853</v>
      </c>
      <c r="F1" s="263" t="s">
        <v>854</v>
      </c>
      <c r="G1" s="263" t="s">
        <v>88</v>
      </c>
      <c r="H1" s="263" t="s">
        <v>855</v>
      </c>
      <c r="I1" s="263" t="s">
        <v>89</v>
      </c>
      <c r="J1" s="263" t="s">
        <v>91</v>
      </c>
      <c r="K1" s="263" t="s">
        <v>92</v>
      </c>
    </row>
    <row r="2" customFormat="false" ht="39.55" hidden="false" customHeight="false" outlineLevel="0" collapsed="false">
      <c r="A2" s="20"/>
      <c r="B2" s="20"/>
      <c r="D2" s="264" t="str">
        <f aca="false">IFERROR(__xludf.dummyfunction("LET(sd,$A$4,ed,$A$7,IF(OR(sd="""",ed=""""),""Enter a Start Date and End Date to view lease move-outs."",IF(sd&gt;ed,""Start Date cannot be later than End Date."",IFERROR(SORT(FILTER(HSTACK('PM ONLY'!D2:D2025,IF('PM ONLY'!D2:D2025&lt;&gt;"""","""",""""),'PM ONLY'!E"&amp;"2:E2025,'PM ONLY'!J2:J2025,'PM ONLY'!L2:L2025,'PM ONLY'!K2:K2025,'PM ONLY'!M2:M2025,'PM ONLY'!N2:N2025),ISNUMBER('PM ONLY'!N2:N2025),'PM ONLY'!N2:N2025&gt;=sd,'PM ONLY'!N2:N2025&lt;=ed),8,TRUE,1,TRUE,3,TRUE,4,TRUE),""No lease move-outs found for this date range"&amp;".""))))"),"406-626 14 Avenue Southwest, Calgary, AB, T2R 0X4")</f>
        <v>406-626 14 Avenue Southwest, Calgary, AB, T2R 0X4</v>
      </c>
      <c r="E2" s="265" t="str">
        <f aca="false">IFERROR(__xludf.dummyfunction("""COMPUTED_VALUE"""),"")</f>
        <v/>
      </c>
      <c r="F2" s="265" t="str">
        <f aca="false">IFERROR(__xludf.dummyfunction("""COMPUTED_VALUE"""),"SFH")</f>
        <v>SFH</v>
      </c>
      <c r="G2" s="265" t="str">
        <f aca="false">IFERROR(__xludf.dummyfunction("""COMPUTED_VALUE"""),"Swain, Daisy")</f>
        <v>Swain, Daisy</v>
      </c>
      <c r="H2" s="265" t="str">
        <f aca="false">IFERROR(__xludf.dummyfunction("""COMPUTED_VALUE"""),"(403) 554 - 5130")</f>
        <v>(403) 554 - 5130</v>
      </c>
      <c r="I2" s="265" t="str">
        <f aca="false">IFERROR(__xludf.dummyfunction("""COMPUTED_VALUE"""),"daisyswain@live.com")</f>
        <v>daisyswain@live.com</v>
      </c>
      <c r="J2" s="266" t="n">
        <f aca="false">IFERROR(__xludf.dummyfunction("""COMPUTED_VALUE"""),45717)</f>
        <v>45717</v>
      </c>
      <c r="K2" s="266" t="n">
        <f aca="false">IFERROR(__xludf.dummyfunction("""COMPUTED_VALUE"""),46203)</f>
        <v>46203</v>
      </c>
    </row>
    <row r="3" customFormat="false" ht="26.85" hidden="false" customHeight="true" outlineLevel="0" collapsed="false">
      <c r="A3" s="261" t="s">
        <v>856</v>
      </c>
      <c r="B3" s="261"/>
      <c r="D3" s="264" t="str">
        <f aca="false">IFERROR(__xludf.dummyfunction("""COMPUTED_VALUE"""),"1936 35 Street Southwest")</f>
        <v>1936 35 Street Southwest</v>
      </c>
      <c r="E3" s="265" t="str">
        <f aca="false">IFERROR(__xludf.dummyfunction("""COMPUTED_VALUE"""),"")</f>
        <v/>
      </c>
      <c r="F3" s="265" t="n">
        <f aca="false">IFERROR(__xludf.dummyfunction("""COMPUTED_VALUE"""),2)</f>
        <v>2</v>
      </c>
      <c r="G3" s="265" t="str">
        <f aca="false">IFERROR(__xludf.dummyfunction("""COMPUTED_VALUE"""),"Carla Sofia Lena Unger")</f>
        <v>Carla Sofia Lena Unger</v>
      </c>
      <c r="H3" s="265"/>
      <c r="I3" s="265"/>
      <c r="J3" s="266" t="n">
        <f aca="false">IFERROR(__xludf.dummyfunction("""COMPUTED_VALUE"""),45900)</f>
        <v>45900</v>
      </c>
      <c r="K3" s="266" t="n">
        <f aca="false">IFERROR(__xludf.dummyfunction("""COMPUTED_VALUE"""),46234)</f>
        <v>46234</v>
      </c>
    </row>
    <row r="4" customFormat="false" ht="18" hidden="false" customHeight="true" outlineLevel="0" collapsed="false">
      <c r="A4" s="267" t="n">
        <v>46174</v>
      </c>
      <c r="B4" s="267"/>
      <c r="D4" s="264" t="str">
        <f aca="false">IFERROR(__xludf.dummyfunction("""COMPUTED_VALUE"""),"1936 35 Street Southwest")</f>
        <v>1936 35 Street Southwest</v>
      </c>
      <c r="E4" s="265" t="str">
        <f aca="false">IFERROR(__xludf.dummyfunction("""COMPUTED_VALUE"""),"")</f>
        <v/>
      </c>
      <c r="F4" s="265" t="str">
        <f aca="false">IFERROR(__xludf.dummyfunction("""COMPUTED_VALUE"""),"4B")</f>
        <v>4B</v>
      </c>
      <c r="G4" s="265" t="str">
        <f aca="false">IFERROR(__xludf.dummyfunction("""COMPUTED_VALUE"""),"Adriana Bouma-Yeme")</f>
        <v>Adriana Bouma-Yeme</v>
      </c>
      <c r="H4" s="265"/>
      <c r="I4" s="265"/>
      <c r="J4" s="266" t="n">
        <f aca="false">IFERROR(__xludf.dummyfunction("""COMPUTED_VALUE"""),45870)</f>
        <v>45870</v>
      </c>
      <c r="K4" s="266" t="n">
        <f aca="false">IFERROR(__xludf.dummyfunction("""COMPUTED_VALUE"""),46234)</f>
        <v>46234</v>
      </c>
    </row>
    <row r="5" customFormat="false" ht="15.75" hidden="false" customHeight="false" outlineLevel="0" collapsed="false">
      <c r="A5" s="20"/>
      <c r="B5" s="20"/>
      <c r="D5" s="264" t="str">
        <f aca="false">IFERROR(__xludf.dummyfunction("""COMPUTED_VALUE"""),"96 Arbour Crest Dr NW")</f>
        <v>96 Arbour Crest Dr NW</v>
      </c>
      <c r="E5" s="265" t="str">
        <f aca="false">IFERROR(__xludf.dummyfunction("""COMPUTED_VALUE"""),"")</f>
        <v/>
      </c>
      <c r="F5" s="265" t="str">
        <f aca="false">IFERROR(__xludf.dummyfunction("""COMPUTED_VALUE"""),"LOWER")</f>
        <v>LOWER</v>
      </c>
      <c r="G5" s="265" t="str">
        <f aca="false">IFERROR(__xludf.dummyfunction("""COMPUTED_VALUE"""),"Razzaq, Fajad")</f>
        <v>Razzaq, Fajad</v>
      </c>
      <c r="H5" s="265"/>
      <c r="I5" s="265" t="str">
        <f aca="false">IFERROR(__xludf.dummyfunction("""COMPUTED_VALUE"""),"fahad.razzaq@hotmail.com")</f>
        <v>fahad.razzaq@hotmail.com</v>
      </c>
      <c r="J5" s="266" t="n">
        <f aca="false">IFERROR(__xludf.dummyfunction("""COMPUTED_VALUE"""),45870)</f>
        <v>45870</v>
      </c>
      <c r="K5" s="266" t="n">
        <f aca="false">IFERROR(__xludf.dummyfunction("""COMPUTED_VALUE"""),46234)</f>
        <v>46234</v>
      </c>
    </row>
    <row r="6" customFormat="false" ht="39.55" hidden="false" customHeight="true" outlineLevel="0" collapsed="false">
      <c r="A6" s="261" t="s">
        <v>857</v>
      </c>
      <c r="B6" s="261"/>
      <c r="D6" s="264" t="str">
        <f aca="false">IFERROR(__xludf.dummyfunction("""COMPUTED_VALUE"""),"1521 26 Avenue SW, Unit 303")</f>
        <v>1521 26 Avenue SW, Unit 303</v>
      </c>
      <c r="E6" s="265" t="str">
        <f aca="false">IFERROR(__xludf.dummyfunction("""COMPUTED_VALUE"""),"")</f>
        <v/>
      </c>
      <c r="F6" s="265" t="n">
        <f aca="false">IFERROR(__xludf.dummyfunction("""COMPUTED_VALUE"""),303)</f>
        <v>303</v>
      </c>
      <c r="G6" s="265" t="str">
        <f aca="false">IFERROR(__xludf.dummyfunction("""COMPUTED_VALUE"""),"Dedek, Christopher
Iftody, Lindsay")</f>
        <v>Dedek, Christopher
Iftody, Lindsay</v>
      </c>
      <c r="H6" s="265" t="str">
        <f aca="false">IFERROR(__xludf.dummyfunction("""COMPUTED_VALUE"""),"(613) 261 - 5975")</f>
        <v>(613) 261 - 5975</v>
      </c>
      <c r="I6" s="265" t="str">
        <f aca="false">IFERROR(__xludf.dummyfunction("""COMPUTED_VALUE"""),"cdedek@gmail.com
lindsayiftody@gmail.com")</f>
        <v>cdedek@gmail.com
lindsayiftody@gmail.com</v>
      </c>
      <c r="J6" s="266" t="n">
        <f aca="false">IFERROR(__xludf.dummyfunction("""COMPUTED_VALUE"""),45901)</f>
        <v>45901</v>
      </c>
      <c r="K6" s="266" t="n">
        <f aca="false">IFERROR(__xludf.dummyfunction("""COMPUTED_VALUE"""),46265)</f>
        <v>46265</v>
      </c>
    </row>
    <row r="7" customFormat="false" ht="26.85" hidden="false" customHeight="false" outlineLevel="0" collapsed="false">
      <c r="A7" s="267" t="n">
        <v>46265</v>
      </c>
      <c r="B7" s="267"/>
      <c r="D7" s="264" t="str">
        <f aca="false">IFERROR(__xludf.dummyfunction("""COMPUTED_VALUE"""),"18904 86a Edmonton, AB, T5T4X8")</f>
        <v>18904 86a Edmonton, AB, T5T4X8</v>
      </c>
      <c r="E7" s="265" t="str">
        <f aca="false">IFERROR(__xludf.dummyfunction("""COMPUTED_VALUE"""),"")</f>
        <v/>
      </c>
      <c r="F7" s="265"/>
      <c r="G7" s="265" t="str">
        <f aca="false">IFERROR(__xludf.dummyfunction("""COMPUTED_VALUE"""),"Nicole Hrynyk")</f>
        <v>Nicole Hrynyk</v>
      </c>
      <c r="H7" s="265"/>
      <c r="I7" s="265"/>
      <c r="J7" s="266" t="n">
        <f aca="false">IFERROR(__xludf.dummyfunction("""COMPUTED_VALUE"""),45901)</f>
        <v>45901</v>
      </c>
      <c r="K7" s="266" t="n">
        <f aca="false">IFERROR(__xludf.dummyfunction("""COMPUTED_VALUE"""),46265)</f>
        <v>46265</v>
      </c>
    </row>
    <row r="8" customFormat="false" ht="26.85" hidden="false" customHeight="false" outlineLevel="0" collapsed="false">
      <c r="D8" s="264" t="str">
        <f aca="false">IFERROR(__xludf.dummyfunction("""COMPUTED_VALUE"""),"236 Ricardo Ranch Avenue Southeast")</f>
        <v>236 Ricardo Ranch Avenue Southeast</v>
      </c>
      <c r="E8" s="265" t="str">
        <f aca="false">IFERROR(__xludf.dummyfunction("""COMPUTED_VALUE"""),"")</f>
        <v/>
      </c>
      <c r="F8" s="265" t="str">
        <f aca="false">IFERROR(__xludf.dummyfunction("""COMPUTED_VALUE"""),"236B")</f>
        <v>236B</v>
      </c>
      <c r="G8" s="265" t="str">
        <f aca="false">IFERROR(__xludf.dummyfunction("""COMPUTED_VALUE"""),"Casey, Erin
Nichols, Tim")</f>
        <v>Casey, Erin
Nichols, Tim</v>
      </c>
      <c r="H8" s="265"/>
      <c r="I8" s="265" t="str">
        <f aca="false">IFERROR(__xludf.dummyfunction("""COMPUTED_VALUE"""),"tnichols@greatnorthernplumbing.com")</f>
        <v>tnichols@greatnorthernplumbing.com</v>
      </c>
      <c r="J8" s="266" t="n">
        <f aca="false">IFERROR(__xludf.dummyfunction("""COMPUTED_VALUE"""),46082)</f>
        <v>46082</v>
      </c>
      <c r="K8" s="266" t="n">
        <f aca="false">IFERROR(__xludf.dummyfunction("""COMPUTED_VALUE"""),46265)</f>
        <v>46265</v>
      </c>
    </row>
    <row r="9" customFormat="false" ht="15.75" hidden="false" customHeight="false" outlineLevel="0" collapsed="false">
      <c r="D9" s="264"/>
      <c r="E9" s="265"/>
      <c r="F9" s="265"/>
      <c r="G9" s="265"/>
      <c r="H9" s="265"/>
      <c r="I9" s="265"/>
      <c r="J9" s="266"/>
      <c r="K9" s="266"/>
    </row>
    <row r="10" customFormat="false" ht="15.75" hidden="false" customHeight="false" outlineLevel="0" collapsed="false">
      <c r="D10" s="264"/>
      <c r="E10" s="265"/>
      <c r="F10" s="265"/>
      <c r="G10" s="265"/>
      <c r="H10" s="265"/>
      <c r="I10" s="265"/>
      <c r="J10" s="266"/>
      <c r="K10" s="266"/>
    </row>
    <row r="11" customFormat="false" ht="15.75" hidden="false" customHeight="false" outlineLevel="0" collapsed="false">
      <c r="D11" s="264"/>
      <c r="E11" s="265"/>
      <c r="F11" s="265"/>
      <c r="G11" s="265"/>
      <c r="H11" s="265"/>
      <c r="I11" s="265"/>
      <c r="J11" s="266"/>
      <c r="K11" s="266"/>
    </row>
    <row r="12" customFormat="false" ht="15.75" hidden="false" customHeight="false" outlineLevel="0" collapsed="false">
      <c r="D12" s="264"/>
      <c r="E12" s="265"/>
      <c r="F12" s="265"/>
      <c r="G12" s="265"/>
      <c r="H12" s="265"/>
      <c r="I12" s="265"/>
      <c r="J12" s="266"/>
      <c r="K12" s="266"/>
    </row>
    <row r="13" customFormat="false" ht="15.75" hidden="false" customHeight="false" outlineLevel="0" collapsed="false">
      <c r="D13" s="264"/>
      <c r="E13" s="265"/>
      <c r="F13" s="265"/>
      <c r="G13" s="265"/>
      <c r="H13" s="265"/>
      <c r="I13" s="265"/>
      <c r="J13" s="266"/>
      <c r="K13" s="266"/>
    </row>
    <row r="14" customFormat="false" ht="15.75" hidden="false" customHeight="false" outlineLevel="0" collapsed="false">
      <c r="D14" s="264"/>
      <c r="E14" s="265"/>
      <c r="F14" s="265"/>
      <c r="G14" s="265"/>
      <c r="H14" s="265"/>
      <c r="I14" s="265"/>
      <c r="J14" s="266"/>
      <c r="K14" s="266"/>
    </row>
    <row r="15" customFormat="false" ht="15.75" hidden="false" customHeight="false" outlineLevel="0" collapsed="false">
      <c r="D15" s="264"/>
      <c r="E15" s="265"/>
      <c r="F15" s="265"/>
      <c r="G15" s="265"/>
      <c r="H15" s="265"/>
      <c r="I15" s="265"/>
      <c r="J15" s="266"/>
      <c r="K15" s="266"/>
    </row>
    <row r="16" customFormat="false" ht="15.75" hidden="false" customHeight="false" outlineLevel="0" collapsed="false">
      <c r="D16" s="264"/>
      <c r="E16" s="265"/>
      <c r="F16" s="265"/>
      <c r="G16" s="265"/>
      <c r="H16" s="265"/>
      <c r="I16" s="265"/>
      <c r="J16" s="266"/>
      <c r="K16" s="266"/>
    </row>
    <row r="17" customFormat="false" ht="15.75" hidden="false" customHeight="false" outlineLevel="0" collapsed="false">
      <c r="D17" s="264"/>
      <c r="E17" s="265"/>
      <c r="F17" s="265"/>
      <c r="G17" s="265"/>
      <c r="H17" s="265"/>
      <c r="I17" s="265"/>
      <c r="J17" s="266"/>
      <c r="K17" s="266"/>
    </row>
    <row r="18" customFormat="false" ht="15.75" hidden="false" customHeight="false" outlineLevel="0" collapsed="false">
      <c r="D18" s="264"/>
      <c r="E18" s="265"/>
      <c r="F18" s="265"/>
      <c r="G18" s="265"/>
      <c r="H18" s="265"/>
      <c r="I18" s="265"/>
      <c r="J18" s="266"/>
      <c r="K18" s="266"/>
    </row>
    <row r="19" customFormat="false" ht="15.75" hidden="false" customHeight="false" outlineLevel="0" collapsed="false">
      <c r="D19" s="264"/>
      <c r="E19" s="265"/>
      <c r="F19" s="265"/>
      <c r="G19" s="265"/>
      <c r="H19" s="265"/>
      <c r="I19" s="265"/>
      <c r="J19" s="266"/>
      <c r="K19" s="266"/>
    </row>
    <row r="20" customFormat="false" ht="15.75" hidden="false" customHeight="false" outlineLevel="0" collapsed="false">
      <c r="D20" s="264"/>
      <c r="E20" s="265"/>
      <c r="F20" s="265"/>
      <c r="G20" s="265"/>
      <c r="H20" s="265"/>
      <c r="I20" s="265"/>
      <c r="J20" s="266"/>
      <c r="K20" s="266"/>
    </row>
    <row r="21" customFormat="false" ht="15.75" hidden="false" customHeight="false" outlineLevel="0" collapsed="false">
      <c r="D21" s="264"/>
      <c r="E21" s="265"/>
      <c r="F21" s="265"/>
      <c r="G21" s="265"/>
      <c r="H21" s="265"/>
      <c r="I21" s="265"/>
      <c r="J21" s="266"/>
      <c r="K21" s="266"/>
    </row>
    <row r="22" customFormat="false" ht="15.75" hidden="false" customHeight="false" outlineLevel="0" collapsed="false">
      <c r="D22" s="264"/>
      <c r="E22" s="265"/>
      <c r="F22" s="265"/>
      <c r="G22" s="265"/>
      <c r="H22" s="265"/>
      <c r="I22" s="265"/>
      <c r="J22" s="266"/>
      <c r="K22" s="266"/>
    </row>
    <row r="23" customFormat="false" ht="15.75" hidden="false" customHeight="false" outlineLevel="0" collapsed="false">
      <c r="D23" s="264"/>
      <c r="E23" s="265"/>
      <c r="F23" s="265"/>
      <c r="G23" s="265"/>
      <c r="H23" s="265"/>
      <c r="I23" s="265"/>
      <c r="J23" s="266"/>
      <c r="K23" s="266"/>
    </row>
    <row r="24" customFormat="false" ht="15.75" hidden="false" customHeight="false" outlineLevel="0" collapsed="false">
      <c r="D24" s="264"/>
      <c r="E24" s="265"/>
      <c r="F24" s="265"/>
      <c r="G24" s="265"/>
      <c r="H24" s="265"/>
      <c r="I24" s="265"/>
      <c r="J24" s="266"/>
      <c r="K24" s="266"/>
    </row>
    <row r="25" customFormat="false" ht="15.75" hidden="false" customHeight="false" outlineLevel="0" collapsed="false">
      <c r="D25" s="264"/>
      <c r="E25" s="265"/>
      <c r="F25" s="265"/>
      <c r="G25" s="265"/>
      <c r="H25" s="265"/>
      <c r="I25" s="265"/>
      <c r="J25" s="266"/>
      <c r="K25" s="266"/>
    </row>
    <row r="26" customFormat="false" ht="15.75" hidden="false" customHeight="false" outlineLevel="0" collapsed="false">
      <c r="D26" s="264"/>
      <c r="E26" s="265"/>
      <c r="F26" s="265"/>
      <c r="G26" s="265"/>
      <c r="H26" s="265"/>
      <c r="I26" s="265"/>
      <c r="J26" s="266"/>
      <c r="K26" s="266"/>
    </row>
    <row r="27" customFormat="false" ht="15.75" hidden="false" customHeight="false" outlineLevel="0" collapsed="false">
      <c r="D27" s="264"/>
      <c r="E27" s="265"/>
      <c r="F27" s="265"/>
      <c r="G27" s="265"/>
      <c r="H27" s="265"/>
      <c r="I27" s="265"/>
      <c r="J27" s="266"/>
      <c r="K27" s="266"/>
    </row>
    <row r="28" customFormat="false" ht="15.75" hidden="false" customHeight="false" outlineLevel="0" collapsed="false">
      <c r="D28" s="264"/>
      <c r="E28" s="265"/>
      <c r="F28" s="265"/>
      <c r="G28" s="265"/>
      <c r="H28" s="265"/>
      <c r="I28" s="265"/>
      <c r="J28" s="266"/>
      <c r="K28" s="266"/>
    </row>
    <row r="29" customFormat="false" ht="15.75" hidden="false" customHeight="false" outlineLevel="0" collapsed="false">
      <c r="D29" s="264"/>
      <c r="E29" s="265"/>
      <c r="F29" s="265"/>
      <c r="G29" s="265"/>
      <c r="H29" s="265"/>
      <c r="I29" s="265"/>
      <c r="J29" s="266"/>
      <c r="K29" s="266"/>
    </row>
    <row r="30" customFormat="false" ht="15.75" hidden="false" customHeight="false" outlineLevel="0" collapsed="false">
      <c r="D30" s="264"/>
      <c r="E30" s="265"/>
      <c r="F30" s="265"/>
      <c r="G30" s="265"/>
      <c r="H30" s="265"/>
      <c r="I30" s="265"/>
      <c r="J30" s="266"/>
      <c r="K30" s="266"/>
    </row>
    <row r="31" customFormat="false" ht="15.75" hidden="false" customHeight="false" outlineLevel="0" collapsed="false">
      <c r="D31" s="264"/>
      <c r="E31" s="265"/>
      <c r="F31" s="265"/>
      <c r="G31" s="265"/>
      <c r="H31" s="265"/>
      <c r="I31" s="265"/>
      <c r="J31" s="266"/>
      <c r="K31" s="266"/>
    </row>
    <row r="32" customFormat="false" ht="15.75" hidden="false" customHeight="false" outlineLevel="0" collapsed="false">
      <c r="D32" s="264"/>
      <c r="E32" s="265"/>
      <c r="F32" s="265"/>
      <c r="G32" s="265"/>
      <c r="H32" s="265"/>
      <c r="I32" s="265"/>
      <c r="J32" s="266"/>
      <c r="K32" s="266"/>
    </row>
    <row r="33" customFormat="false" ht="15.75" hidden="false" customHeight="false" outlineLevel="0" collapsed="false">
      <c r="D33" s="264"/>
      <c r="E33" s="265"/>
      <c r="F33" s="265"/>
      <c r="G33" s="265"/>
      <c r="H33" s="265"/>
      <c r="I33" s="265"/>
      <c r="J33" s="266"/>
      <c r="K33" s="266"/>
    </row>
    <row r="34" customFormat="false" ht="15.75" hidden="false" customHeight="false" outlineLevel="0" collapsed="false">
      <c r="D34" s="264"/>
      <c r="E34" s="265"/>
      <c r="F34" s="265"/>
      <c r="G34" s="265"/>
      <c r="H34" s="265"/>
      <c r="I34" s="265"/>
      <c r="J34" s="266"/>
      <c r="K34" s="266"/>
    </row>
    <row r="35" customFormat="false" ht="15.75" hidden="false" customHeight="false" outlineLevel="0" collapsed="false">
      <c r="D35" s="264"/>
      <c r="E35" s="265"/>
      <c r="F35" s="265"/>
      <c r="G35" s="265"/>
      <c r="H35" s="265"/>
      <c r="I35" s="265"/>
      <c r="J35" s="266"/>
      <c r="K35" s="266"/>
    </row>
    <row r="36" customFormat="false" ht="15.75" hidden="false" customHeight="false" outlineLevel="0" collapsed="false">
      <c r="D36" s="264"/>
      <c r="E36" s="265"/>
      <c r="F36" s="265"/>
      <c r="G36" s="265"/>
      <c r="H36" s="265"/>
      <c r="I36" s="265"/>
      <c r="J36" s="266"/>
      <c r="K36" s="266"/>
    </row>
    <row r="37" customFormat="false" ht="15.75" hidden="false" customHeight="false" outlineLevel="0" collapsed="false">
      <c r="D37" s="264"/>
      <c r="E37" s="265"/>
      <c r="F37" s="265"/>
      <c r="G37" s="265"/>
      <c r="H37" s="265"/>
      <c r="I37" s="265"/>
      <c r="J37" s="266"/>
      <c r="K37" s="266"/>
    </row>
    <row r="38" customFormat="false" ht="15.75" hidden="false" customHeight="false" outlineLevel="0" collapsed="false">
      <c r="D38" s="264"/>
      <c r="E38" s="265"/>
      <c r="F38" s="265"/>
      <c r="G38" s="265"/>
      <c r="H38" s="265"/>
      <c r="I38" s="265"/>
      <c r="J38" s="266"/>
      <c r="K38" s="266"/>
    </row>
    <row r="39" customFormat="false" ht="15.75" hidden="false" customHeight="false" outlineLevel="0" collapsed="false">
      <c r="D39" s="264"/>
      <c r="E39" s="265"/>
      <c r="F39" s="265"/>
      <c r="G39" s="265"/>
      <c r="H39" s="265"/>
      <c r="I39" s="265"/>
      <c r="J39" s="266"/>
      <c r="K39" s="266"/>
    </row>
    <row r="40" customFormat="false" ht="15.75" hidden="false" customHeight="false" outlineLevel="0" collapsed="false">
      <c r="D40" s="264"/>
      <c r="E40" s="265"/>
      <c r="F40" s="265"/>
      <c r="G40" s="265"/>
      <c r="H40" s="265"/>
      <c r="I40" s="265"/>
      <c r="J40" s="266"/>
      <c r="K40" s="266"/>
    </row>
    <row r="41" customFormat="false" ht="15.75" hidden="false" customHeight="false" outlineLevel="0" collapsed="false">
      <c r="D41" s="264"/>
      <c r="E41" s="265"/>
      <c r="F41" s="265"/>
      <c r="G41" s="265"/>
      <c r="H41" s="265"/>
      <c r="I41" s="265"/>
      <c r="J41" s="266"/>
      <c r="K41" s="266"/>
    </row>
    <row r="42" customFormat="false" ht="15.75" hidden="false" customHeight="false" outlineLevel="0" collapsed="false">
      <c r="D42" s="264"/>
      <c r="E42" s="265"/>
      <c r="F42" s="265"/>
      <c r="G42" s="265"/>
      <c r="H42" s="265"/>
      <c r="I42" s="265"/>
      <c r="J42" s="266"/>
      <c r="K42" s="266"/>
    </row>
    <row r="43" customFormat="false" ht="15.75" hidden="false" customHeight="false" outlineLevel="0" collapsed="false">
      <c r="D43" s="264"/>
      <c r="E43" s="265"/>
      <c r="F43" s="265"/>
      <c r="G43" s="265"/>
      <c r="H43" s="265"/>
      <c r="I43" s="265"/>
      <c r="J43" s="266"/>
      <c r="K43" s="266"/>
    </row>
    <row r="44" customFormat="false" ht="15.75" hidden="false" customHeight="false" outlineLevel="0" collapsed="false">
      <c r="D44" s="264"/>
      <c r="E44" s="265"/>
      <c r="F44" s="265"/>
      <c r="G44" s="265"/>
      <c r="H44" s="265"/>
      <c r="I44" s="265"/>
      <c r="J44" s="266"/>
      <c r="K44" s="266"/>
    </row>
    <row r="45" customFormat="false" ht="15.75" hidden="false" customHeight="false" outlineLevel="0" collapsed="false">
      <c r="D45" s="264"/>
      <c r="E45" s="265"/>
      <c r="F45" s="265"/>
      <c r="G45" s="265"/>
      <c r="H45" s="265"/>
      <c r="I45" s="265"/>
      <c r="J45" s="266"/>
      <c r="K45" s="266"/>
    </row>
    <row r="46" customFormat="false" ht="15.75" hidden="false" customHeight="false" outlineLevel="0" collapsed="false">
      <c r="D46" s="264"/>
      <c r="E46" s="265"/>
      <c r="F46" s="265"/>
      <c r="G46" s="265"/>
      <c r="H46" s="265"/>
      <c r="I46" s="265"/>
      <c r="J46" s="266"/>
      <c r="K46" s="266"/>
    </row>
    <row r="47" customFormat="false" ht="15.75" hidden="false" customHeight="false" outlineLevel="0" collapsed="false">
      <c r="D47" s="264"/>
      <c r="E47" s="265"/>
      <c r="F47" s="265"/>
      <c r="G47" s="265"/>
      <c r="H47" s="265"/>
      <c r="I47" s="265"/>
      <c r="J47" s="266"/>
      <c r="K47" s="266"/>
    </row>
    <row r="48" customFormat="false" ht="15.75" hidden="false" customHeight="false" outlineLevel="0" collapsed="false">
      <c r="D48" s="264"/>
      <c r="E48" s="265"/>
      <c r="F48" s="265"/>
      <c r="G48" s="265"/>
      <c r="H48" s="265"/>
      <c r="I48" s="265"/>
      <c r="J48" s="266"/>
      <c r="K48" s="266"/>
    </row>
    <row r="49" customFormat="false" ht="15.75" hidden="false" customHeight="false" outlineLevel="0" collapsed="false">
      <c r="D49" s="264"/>
      <c r="E49" s="265"/>
      <c r="F49" s="265"/>
      <c r="G49" s="265"/>
      <c r="H49" s="265"/>
      <c r="I49" s="265"/>
      <c r="J49" s="266"/>
      <c r="K49" s="266"/>
    </row>
    <row r="50" customFormat="false" ht="15.75" hidden="false" customHeight="false" outlineLevel="0" collapsed="false">
      <c r="D50" s="264"/>
      <c r="E50" s="265"/>
      <c r="F50" s="265"/>
      <c r="G50" s="265"/>
      <c r="H50" s="265"/>
      <c r="I50" s="265"/>
      <c r="J50" s="266"/>
      <c r="K50" s="266"/>
    </row>
    <row r="51" customFormat="false" ht="15.75" hidden="false" customHeight="false" outlineLevel="0" collapsed="false">
      <c r="D51" s="264"/>
      <c r="E51" s="265"/>
      <c r="F51" s="265"/>
      <c r="G51" s="265"/>
      <c r="H51" s="265"/>
      <c r="I51" s="265"/>
      <c r="J51" s="266"/>
      <c r="K51" s="266"/>
    </row>
    <row r="52" customFormat="false" ht="15.75" hidden="false" customHeight="false" outlineLevel="0" collapsed="false">
      <c r="D52" s="264"/>
      <c r="E52" s="265"/>
      <c r="F52" s="265"/>
      <c r="G52" s="265"/>
      <c r="H52" s="265"/>
      <c r="I52" s="265"/>
      <c r="J52" s="266"/>
      <c r="K52" s="266"/>
    </row>
    <row r="53" customFormat="false" ht="15.75" hidden="false" customHeight="false" outlineLevel="0" collapsed="false">
      <c r="D53" s="264"/>
      <c r="E53" s="265"/>
      <c r="F53" s="265"/>
      <c r="G53" s="265"/>
      <c r="H53" s="265"/>
      <c r="I53" s="265"/>
      <c r="J53" s="266"/>
      <c r="K53" s="266"/>
    </row>
    <row r="54" customFormat="false" ht="15.75" hidden="false" customHeight="false" outlineLevel="0" collapsed="false">
      <c r="D54" s="264"/>
      <c r="E54" s="265"/>
      <c r="F54" s="265"/>
      <c r="G54" s="265"/>
      <c r="H54" s="265"/>
      <c r="I54" s="265"/>
      <c r="J54" s="266"/>
      <c r="K54" s="266"/>
    </row>
    <row r="55" customFormat="false" ht="15.75" hidden="false" customHeight="false" outlineLevel="0" collapsed="false">
      <c r="D55" s="264"/>
      <c r="E55" s="265"/>
      <c r="F55" s="265"/>
      <c r="G55" s="265"/>
      <c r="H55" s="265"/>
      <c r="I55" s="265"/>
      <c r="J55" s="266"/>
      <c r="K55" s="266"/>
    </row>
    <row r="56" customFormat="false" ht="15.75" hidden="false" customHeight="false" outlineLevel="0" collapsed="false">
      <c r="D56" s="264"/>
      <c r="E56" s="265"/>
      <c r="F56" s="265"/>
      <c r="G56" s="265"/>
      <c r="H56" s="265"/>
      <c r="I56" s="265"/>
      <c r="J56" s="266"/>
      <c r="K56" s="266"/>
    </row>
    <row r="57" customFormat="false" ht="15.75" hidden="false" customHeight="false" outlineLevel="0" collapsed="false">
      <c r="D57" s="264"/>
      <c r="E57" s="265"/>
      <c r="F57" s="265"/>
      <c r="G57" s="265"/>
      <c r="H57" s="265"/>
      <c r="I57" s="265"/>
      <c r="J57" s="266"/>
      <c r="K57" s="266"/>
    </row>
    <row r="58" customFormat="false" ht="15.75" hidden="false" customHeight="false" outlineLevel="0" collapsed="false">
      <c r="D58" s="264"/>
      <c r="E58" s="265"/>
      <c r="F58" s="265"/>
      <c r="G58" s="265"/>
      <c r="H58" s="265"/>
      <c r="I58" s="265"/>
      <c r="J58" s="266"/>
      <c r="K58" s="266"/>
    </row>
    <row r="59" customFormat="false" ht="15.75" hidden="false" customHeight="false" outlineLevel="0" collapsed="false">
      <c r="D59" s="264"/>
      <c r="E59" s="265"/>
      <c r="F59" s="265"/>
      <c r="G59" s="265"/>
      <c r="H59" s="265"/>
      <c r="I59" s="265"/>
      <c r="J59" s="266"/>
      <c r="K59" s="266"/>
    </row>
    <row r="60" customFormat="false" ht="15.75" hidden="false" customHeight="false" outlineLevel="0" collapsed="false">
      <c r="D60" s="264"/>
      <c r="E60" s="265"/>
      <c r="F60" s="265"/>
      <c r="G60" s="265"/>
      <c r="H60" s="265"/>
      <c r="I60" s="265"/>
      <c r="J60" s="266"/>
      <c r="K60" s="266"/>
    </row>
    <row r="61" customFormat="false" ht="15.75" hidden="false" customHeight="false" outlineLevel="0" collapsed="false">
      <c r="D61" s="264"/>
      <c r="E61" s="265"/>
      <c r="F61" s="265"/>
      <c r="G61" s="265"/>
      <c r="H61" s="265"/>
      <c r="I61" s="265"/>
      <c r="J61" s="266"/>
      <c r="K61" s="266"/>
    </row>
    <row r="62" customFormat="false" ht="15.75" hidden="false" customHeight="false" outlineLevel="0" collapsed="false">
      <c r="D62" s="264"/>
      <c r="E62" s="265"/>
      <c r="F62" s="265"/>
      <c r="G62" s="265"/>
      <c r="H62" s="265"/>
      <c r="I62" s="265"/>
      <c r="J62" s="266"/>
      <c r="K62" s="266"/>
    </row>
    <row r="63" customFormat="false" ht="15.75" hidden="false" customHeight="false" outlineLevel="0" collapsed="false">
      <c r="D63" s="264"/>
      <c r="E63" s="265"/>
      <c r="F63" s="265"/>
      <c r="G63" s="265"/>
      <c r="H63" s="265"/>
      <c r="I63" s="265"/>
      <c r="J63" s="266"/>
      <c r="K63" s="266"/>
    </row>
    <row r="64" customFormat="false" ht="15.75" hidden="false" customHeight="false" outlineLevel="0" collapsed="false">
      <c r="D64" s="264"/>
      <c r="E64" s="265"/>
      <c r="F64" s="265"/>
      <c r="G64" s="265"/>
      <c r="H64" s="265"/>
      <c r="I64" s="265"/>
      <c r="J64" s="266"/>
      <c r="K64" s="266"/>
    </row>
    <row r="65" customFormat="false" ht="15.75" hidden="false" customHeight="false" outlineLevel="0" collapsed="false">
      <c r="D65" s="264"/>
      <c r="E65" s="265"/>
      <c r="F65" s="265"/>
      <c r="G65" s="265"/>
      <c r="H65" s="265"/>
      <c r="I65" s="265"/>
      <c r="J65" s="266"/>
      <c r="K65" s="266"/>
    </row>
    <row r="66" customFormat="false" ht="15.75" hidden="false" customHeight="false" outlineLevel="0" collapsed="false">
      <c r="D66" s="264"/>
      <c r="E66" s="265"/>
      <c r="F66" s="265"/>
      <c r="G66" s="265"/>
      <c r="H66" s="265"/>
      <c r="I66" s="265"/>
      <c r="J66" s="266"/>
      <c r="K66" s="266"/>
    </row>
    <row r="67" customFormat="false" ht="15.75" hidden="false" customHeight="false" outlineLevel="0" collapsed="false">
      <c r="D67" s="264"/>
      <c r="E67" s="265"/>
      <c r="F67" s="265"/>
      <c r="G67" s="265"/>
      <c r="H67" s="265"/>
      <c r="I67" s="265"/>
      <c r="J67" s="266"/>
      <c r="K67" s="266"/>
    </row>
    <row r="68" customFormat="false" ht="15.75" hidden="false" customHeight="false" outlineLevel="0" collapsed="false">
      <c r="D68" s="264"/>
      <c r="E68" s="265"/>
      <c r="F68" s="265"/>
      <c r="G68" s="265"/>
      <c r="H68" s="265"/>
      <c r="I68" s="265"/>
      <c r="J68" s="266"/>
      <c r="K68" s="266"/>
    </row>
    <row r="69" customFormat="false" ht="15.75" hidden="false" customHeight="false" outlineLevel="0" collapsed="false">
      <c r="D69" s="264"/>
      <c r="E69" s="265"/>
      <c r="F69" s="265"/>
      <c r="G69" s="265"/>
      <c r="H69" s="265"/>
      <c r="I69" s="265"/>
      <c r="J69" s="266"/>
      <c r="K69" s="266"/>
    </row>
    <row r="70" customFormat="false" ht="15.75" hidden="false" customHeight="false" outlineLevel="0" collapsed="false">
      <c r="D70" s="264"/>
      <c r="E70" s="265"/>
      <c r="F70" s="265"/>
      <c r="G70" s="265"/>
      <c r="H70" s="265"/>
      <c r="I70" s="265"/>
      <c r="J70" s="266"/>
      <c r="K70" s="266"/>
    </row>
    <row r="71" customFormat="false" ht="15.75" hidden="false" customHeight="false" outlineLevel="0" collapsed="false">
      <c r="D71" s="264"/>
      <c r="E71" s="265"/>
      <c r="F71" s="265"/>
      <c r="G71" s="265"/>
      <c r="H71" s="265"/>
      <c r="I71" s="265"/>
      <c r="J71" s="266"/>
      <c r="K71" s="266"/>
    </row>
    <row r="72" customFormat="false" ht="15.75" hidden="false" customHeight="false" outlineLevel="0" collapsed="false">
      <c r="D72" s="264"/>
      <c r="E72" s="265"/>
      <c r="F72" s="265"/>
      <c r="G72" s="265"/>
      <c r="H72" s="265"/>
      <c r="I72" s="265"/>
      <c r="J72" s="266"/>
      <c r="K72" s="266"/>
    </row>
    <row r="73" customFormat="false" ht="15.75" hidden="false" customHeight="false" outlineLevel="0" collapsed="false">
      <c r="D73" s="264"/>
      <c r="E73" s="265"/>
      <c r="F73" s="265"/>
      <c r="G73" s="265"/>
      <c r="H73" s="265"/>
      <c r="I73" s="265"/>
      <c r="J73" s="266"/>
      <c r="K73" s="266"/>
    </row>
    <row r="74" customFormat="false" ht="15.75" hidden="false" customHeight="false" outlineLevel="0" collapsed="false">
      <c r="D74" s="264"/>
      <c r="E74" s="265"/>
      <c r="F74" s="265"/>
      <c r="G74" s="265"/>
      <c r="H74" s="265"/>
      <c r="I74" s="265"/>
      <c r="J74" s="266"/>
      <c r="K74" s="266"/>
    </row>
    <row r="75" customFormat="false" ht="15.75" hidden="false" customHeight="false" outlineLevel="0" collapsed="false">
      <c r="D75" s="264"/>
      <c r="E75" s="265"/>
      <c r="F75" s="265"/>
      <c r="G75" s="265"/>
      <c r="H75" s="265"/>
      <c r="I75" s="265"/>
      <c r="J75" s="266"/>
      <c r="K75" s="266"/>
    </row>
    <row r="76" customFormat="false" ht="15.75" hidden="false" customHeight="false" outlineLevel="0" collapsed="false">
      <c r="D76" s="264"/>
      <c r="E76" s="265"/>
      <c r="F76" s="265"/>
      <c r="G76" s="265"/>
      <c r="H76" s="265"/>
      <c r="I76" s="265"/>
      <c r="J76" s="266"/>
      <c r="K76" s="266"/>
    </row>
    <row r="77" customFormat="false" ht="15.75" hidden="false" customHeight="false" outlineLevel="0" collapsed="false">
      <c r="D77" s="264"/>
      <c r="E77" s="265"/>
      <c r="F77" s="265"/>
      <c r="G77" s="265"/>
      <c r="H77" s="265"/>
      <c r="I77" s="265"/>
      <c r="J77" s="266"/>
      <c r="K77" s="266"/>
    </row>
    <row r="78" customFormat="false" ht="15.75" hidden="false" customHeight="false" outlineLevel="0" collapsed="false">
      <c r="D78" s="264"/>
      <c r="E78" s="265"/>
      <c r="F78" s="265"/>
      <c r="G78" s="265"/>
      <c r="H78" s="265"/>
      <c r="I78" s="265"/>
      <c r="J78" s="266"/>
      <c r="K78" s="266"/>
    </row>
    <row r="79" customFormat="false" ht="15.75" hidden="false" customHeight="false" outlineLevel="0" collapsed="false">
      <c r="D79" s="264"/>
      <c r="E79" s="265"/>
      <c r="F79" s="265"/>
      <c r="G79" s="265"/>
      <c r="H79" s="265"/>
      <c r="I79" s="265"/>
      <c r="J79" s="266"/>
      <c r="K79" s="266"/>
    </row>
    <row r="80" customFormat="false" ht="15.75" hidden="false" customHeight="false" outlineLevel="0" collapsed="false">
      <c r="D80" s="264"/>
      <c r="E80" s="265"/>
      <c r="F80" s="265"/>
      <c r="G80" s="265"/>
      <c r="H80" s="265"/>
      <c r="I80" s="265"/>
      <c r="J80" s="266"/>
      <c r="K80" s="266"/>
    </row>
    <row r="81" customFormat="false" ht="15.75" hidden="false" customHeight="false" outlineLevel="0" collapsed="false">
      <c r="D81" s="264"/>
      <c r="E81" s="265"/>
      <c r="F81" s="265"/>
      <c r="G81" s="265"/>
      <c r="H81" s="265"/>
      <c r="I81" s="265"/>
      <c r="J81" s="266"/>
      <c r="K81" s="266"/>
    </row>
    <row r="82" customFormat="false" ht="15.75" hidden="false" customHeight="false" outlineLevel="0" collapsed="false">
      <c r="D82" s="264"/>
      <c r="E82" s="265"/>
      <c r="F82" s="265"/>
      <c r="G82" s="265"/>
      <c r="H82" s="265"/>
      <c r="I82" s="265"/>
      <c r="J82" s="266"/>
      <c r="K82" s="266"/>
    </row>
    <row r="83" customFormat="false" ht="15.75" hidden="false" customHeight="false" outlineLevel="0" collapsed="false">
      <c r="D83" s="264"/>
      <c r="E83" s="265"/>
      <c r="F83" s="265"/>
      <c r="G83" s="265"/>
      <c r="H83" s="265"/>
      <c r="I83" s="265"/>
      <c r="J83" s="266"/>
      <c r="K83" s="266"/>
    </row>
    <row r="84" customFormat="false" ht="15.75" hidden="false" customHeight="false" outlineLevel="0" collapsed="false">
      <c r="D84" s="264"/>
      <c r="E84" s="265"/>
      <c r="F84" s="265"/>
      <c r="G84" s="265"/>
      <c r="H84" s="265"/>
      <c r="I84" s="265"/>
      <c r="J84" s="266"/>
      <c r="K84" s="266"/>
    </row>
    <row r="85" customFormat="false" ht="15.75" hidden="false" customHeight="false" outlineLevel="0" collapsed="false">
      <c r="D85" s="264"/>
      <c r="E85" s="265"/>
      <c r="F85" s="265"/>
      <c r="G85" s="265"/>
      <c r="H85" s="265"/>
      <c r="I85" s="265"/>
      <c r="J85" s="266"/>
      <c r="K85" s="266"/>
    </row>
    <row r="86" customFormat="false" ht="15.75" hidden="false" customHeight="false" outlineLevel="0" collapsed="false">
      <c r="D86" s="264"/>
      <c r="E86" s="265"/>
      <c r="F86" s="265"/>
      <c r="G86" s="265"/>
      <c r="H86" s="265"/>
      <c r="I86" s="265"/>
      <c r="J86" s="266"/>
      <c r="K86" s="266"/>
    </row>
    <row r="87" customFormat="false" ht="15.75" hidden="false" customHeight="false" outlineLevel="0" collapsed="false">
      <c r="D87" s="264"/>
      <c r="E87" s="265"/>
      <c r="F87" s="265"/>
      <c r="G87" s="265"/>
      <c r="H87" s="265"/>
      <c r="I87" s="265"/>
      <c r="J87" s="266"/>
      <c r="K87" s="266"/>
    </row>
    <row r="88" customFormat="false" ht="15.75" hidden="false" customHeight="false" outlineLevel="0" collapsed="false">
      <c r="D88" s="264"/>
      <c r="E88" s="265"/>
      <c r="F88" s="265"/>
      <c r="G88" s="265"/>
      <c r="H88" s="265"/>
      <c r="I88" s="265"/>
      <c r="J88" s="266"/>
      <c r="K88" s="266"/>
    </row>
    <row r="89" customFormat="false" ht="15.75" hidden="false" customHeight="false" outlineLevel="0" collapsed="false">
      <c r="D89" s="264"/>
      <c r="E89" s="265"/>
      <c r="F89" s="265"/>
      <c r="G89" s="265"/>
      <c r="H89" s="265"/>
      <c r="I89" s="265"/>
      <c r="J89" s="266"/>
      <c r="K89" s="266"/>
    </row>
    <row r="90" customFormat="false" ht="15.75" hidden="false" customHeight="false" outlineLevel="0" collapsed="false">
      <c r="D90" s="264"/>
      <c r="E90" s="265"/>
      <c r="F90" s="265"/>
      <c r="G90" s="265"/>
      <c r="H90" s="265"/>
      <c r="I90" s="265"/>
      <c r="J90" s="266"/>
      <c r="K90" s="266"/>
    </row>
    <row r="91" customFormat="false" ht="15.75" hidden="false" customHeight="false" outlineLevel="0" collapsed="false">
      <c r="D91" s="264"/>
      <c r="E91" s="265"/>
      <c r="F91" s="265"/>
      <c r="G91" s="265"/>
      <c r="H91" s="265"/>
      <c r="I91" s="265"/>
      <c r="J91" s="266"/>
      <c r="K91" s="266"/>
    </row>
    <row r="92" customFormat="false" ht="15.75" hidden="false" customHeight="false" outlineLevel="0" collapsed="false">
      <c r="D92" s="264"/>
      <c r="E92" s="265"/>
      <c r="F92" s="265"/>
      <c r="G92" s="265"/>
      <c r="H92" s="265"/>
      <c r="I92" s="265"/>
      <c r="J92" s="266"/>
      <c r="K92" s="266"/>
    </row>
    <row r="93" customFormat="false" ht="15.75" hidden="false" customHeight="false" outlineLevel="0" collapsed="false">
      <c r="D93" s="264"/>
      <c r="E93" s="265"/>
      <c r="F93" s="265"/>
      <c r="G93" s="265"/>
      <c r="H93" s="265"/>
      <c r="I93" s="265"/>
      <c r="J93" s="266"/>
      <c r="K93" s="266"/>
    </row>
    <row r="94" customFormat="false" ht="15.75" hidden="false" customHeight="false" outlineLevel="0" collapsed="false">
      <c r="D94" s="264"/>
      <c r="E94" s="265"/>
      <c r="F94" s="265"/>
      <c r="G94" s="265"/>
      <c r="H94" s="265"/>
      <c r="I94" s="265"/>
      <c r="J94" s="266"/>
      <c r="K94" s="266"/>
    </row>
    <row r="95" customFormat="false" ht="15.75" hidden="false" customHeight="false" outlineLevel="0" collapsed="false">
      <c r="D95" s="264"/>
      <c r="E95" s="265"/>
      <c r="F95" s="265"/>
      <c r="G95" s="265"/>
      <c r="H95" s="265"/>
      <c r="I95" s="265"/>
      <c r="J95" s="266"/>
      <c r="K95" s="266"/>
    </row>
    <row r="96" customFormat="false" ht="15.75" hidden="false" customHeight="false" outlineLevel="0" collapsed="false">
      <c r="D96" s="264"/>
      <c r="E96" s="265"/>
      <c r="F96" s="265"/>
      <c r="G96" s="265"/>
      <c r="H96" s="265"/>
      <c r="I96" s="265"/>
      <c r="J96" s="266"/>
      <c r="K96" s="266"/>
    </row>
    <row r="97" customFormat="false" ht="15.75" hidden="false" customHeight="false" outlineLevel="0" collapsed="false">
      <c r="D97" s="264"/>
      <c r="E97" s="265"/>
      <c r="F97" s="265"/>
      <c r="G97" s="265"/>
      <c r="H97" s="265"/>
      <c r="I97" s="265"/>
      <c r="J97" s="266"/>
      <c r="K97" s="266"/>
    </row>
    <row r="98" customFormat="false" ht="15.75" hidden="false" customHeight="false" outlineLevel="0" collapsed="false">
      <c r="D98" s="264"/>
      <c r="E98" s="265"/>
      <c r="F98" s="265"/>
      <c r="G98" s="265"/>
      <c r="H98" s="265"/>
      <c r="I98" s="265"/>
      <c r="J98" s="266"/>
      <c r="K98" s="266"/>
    </row>
    <row r="99" customFormat="false" ht="15.75" hidden="false" customHeight="false" outlineLevel="0" collapsed="false">
      <c r="D99" s="264"/>
      <c r="E99" s="265"/>
      <c r="F99" s="265"/>
      <c r="G99" s="265"/>
      <c r="H99" s="265"/>
      <c r="I99" s="265"/>
      <c r="J99" s="266"/>
      <c r="K99" s="266"/>
    </row>
    <row r="100" customFormat="false" ht="15.75" hidden="false" customHeight="false" outlineLevel="0" collapsed="false">
      <c r="D100" s="264"/>
      <c r="E100" s="265"/>
      <c r="F100" s="265"/>
      <c r="G100" s="265"/>
      <c r="H100" s="265"/>
      <c r="I100" s="265"/>
      <c r="J100" s="266"/>
      <c r="K100" s="266"/>
    </row>
    <row r="101" customFormat="false" ht="15.75" hidden="false" customHeight="false" outlineLevel="0" collapsed="false">
      <c r="D101" s="264"/>
      <c r="E101" s="265"/>
      <c r="F101" s="265"/>
      <c r="G101" s="265"/>
      <c r="H101" s="265"/>
      <c r="I101" s="265"/>
      <c r="J101" s="266"/>
      <c r="K101" s="266"/>
    </row>
    <row r="102" customFormat="false" ht="15.75" hidden="false" customHeight="false" outlineLevel="0" collapsed="false">
      <c r="D102" s="264"/>
      <c r="E102" s="265"/>
      <c r="F102" s="265"/>
      <c r="G102" s="265"/>
      <c r="H102" s="265"/>
      <c r="I102" s="265"/>
      <c r="J102" s="266"/>
      <c r="K102" s="266"/>
    </row>
    <row r="103" customFormat="false" ht="15.75" hidden="false" customHeight="false" outlineLevel="0" collapsed="false">
      <c r="D103" s="264"/>
      <c r="E103" s="265"/>
      <c r="F103" s="265"/>
      <c r="G103" s="265"/>
      <c r="H103" s="265"/>
      <c r="I103" s="265"/>
      <c r="J103" s="266"/>
      <c r="K103" s="266"/>
    </row>
    <row r="104" customFormat="false" ht="15.75" hidden="false" customHeight="false" outlineLevel="0" collapsed="false">
      <c r="D104" s="264"/>
      <c r="E104" s="265"/>
      <c r="F104" s="265"/>
      <c r="G104" s="265"/>
      <c r="H104" s="265"/>
      <c r="I104" s="265"/>
      <c r="J104" s="266"/>
      <c r="K104" s="266"/>
    </row>
    <row r="105" customFormat="false" ht="15.75" hidden="false" customHeight="false" outlineLevel="0" collapsed="false">
      <c r="D105" s="264"/>
      <c r="E105" s="265"/>
      <c r="F105" s="265"/>
      <c r="G105" s="265"/>
      <c r="H105" s="265"/>
      <c r="I105" s="265"/>
      <c r="J105" s="266"/>
      <c r="K105" s="266"/>
    </row>
    <row r="106" customFormat="false" ht="15.75" hidden="false" customHeight="false" outlineLevel="0" collapsed="false">
      <c r="D106" s="264"/>
      <c r="E106" s="265"/>
      <c r="F106" s="265"/>
      <c r="G106" s="265"/>
      <c r="H106" s="265"/>
      <c r="I106" s="265"/>
      <c r="J106" s="266"/>
      <c r="K106" s="266"/>
    </row>
    <row r="107" customFormat="false" ht="15.75" hidden="false" customHeight="false" outlineLevel="0" collapsed="false">
      <c r="D107" s="264"/>
      <c r="E107" s="265"/>
      <c r="F107" s="265"/>
      <c r="G107" s="265"/>
      <c r="H107" s="265"/>
      <c r="I107" s="265"/>
      <c r="J107" s="266"/>
      <c r="K107" s="266"/>
    </row>
    <row r="108" customFormat="false" ht="15.75" hidden="false" customHeight="false" outlineLevel="0" collapsed="false">
      <c r="D108" s="264"/>
      <c r="E108" s="265"/>
      <c r="F108" s="265"/>
      <c r="G108" s="265"/>
      <c r="H108" s="265"/>
      <c r="I108" s="265"/>
      <c r="J108" s="266"/>
      <c r="K108" s="266"/>
    </row>
    <row r="109" customFormat="false" ht="15.75" hidden="false" customHeight="false" outlineLevel="0" collapsed="false">
      <c r="D109" s="264"/>
      <c r="E109" s="265"/>
      <c r="F109" s="265"/>
      <c r="G109" s="265"/>
      <c r="H109" s="265"/>
      <c r="I109" s="265"/>
      <c r="J109" s="266"/>
      <c r="K109" s="266"/>
    </row>
    <row r="110" customFormat="false" ht="15.75" hidden="false" customHeight="false" outlineLevel="0" collapsed="false">
      <c r="D110" s="264"/>
      <c r="E110" s="265"/>
      <c r="F110" s="265"/>
      <c r="G110" s="265"/>
      <c r="H110" s="265"/>
      <c r="I110" s="265"/>
      <c r="J110" s="266"/>
      <c r="K110" s="266"/>
    </row>
    <row r="111" customFormat="false" ht="15.75" hidden="false" customHeight="false" outlineLevel="0" collapsed="false">
      <c r="D111" s="264"/>
      <c r="E111" s="265"/>
      <c r="F111" s="265"/>
      <c r="G111" s="265"/>
      <c r="H111" s="265"/>
      <c r="I111" s="265"/>
      <c r="J111" s="266"/>
      <c r="K111" s="266"/>
    </row>
    <row r="112" customFormat="false" ht="15.75" hidden="false" customHeight="false" outlineLevel="0" collapsed="false">
      <c r="D112" s="264"/>
      <c r="E112" s="265"/>
      <c r="F112" s="265"/>
      <c r="G112" s="265"/>
      <c r="H112" s="265"/>
      <c r="I112" s="265"/>
      <c r="J112" s="266"/>
      <c r="K112" s="266"/>
    </row>
    <row r="113" customFormat="false" ht="15.75" hidden="false" customHeight="false" outlineLevel="0" collapsed="false">
      <c r="D113" s="264"/>
      <c r="E113" s="265"/>
      <c r="F113" s="265"/>
      <c r="G113" s="265"/>
      <c r="H113" s="265"/>
      <c r="I113" s="265"/>
      <c r="J113" s="266"/>
      <c r="K113" s="266"/>
    </row>
    <row r="114" customFormat="false" ht="15.75" hidden="false" customHeight="false" outlineLevel="0" collapsed="false">
      <c r="D114" s="264"/>
      <c r="E114" s="265"/>
      <c r="F114" s="265"/>
      <c r="G114" s="265"/>
      <c r="H114" s="265"/>
      <c r="I114" s="265"/>
      <c r="J114" s="266"/>
      <c r="K114" s="266"/>
    </row>
    <row r="115" customFormat="false" ht="15.75" hidden="false" customHeight="false" outlineLevel="0" collapsed="false">
      <c r="D115" s="264"/>
      <c r="E115" s="265"/>
      <c r="F115" s="265"/>
      <c r="G115" s="265"/>
      <c r="H115" s="265"/>
      <c r="I115" s="265"/>
      <c r="J115" s="266"/>
      <c r="K115" s="266"/>
    </row>
    <row r="116" customFormat="false" ht="15.75" hidden="false" customHeight="false" outlineLevel="0" collapsed="false">
      <c r="D116" s="264"/>
      <c r="E116" s="265"/>
      <c r="F116" s="265"/>
      <c r="G116" s="265"/>
      <c r="H116" s="265"/>
      <c r="I116" s="265"/>
      <c r="J116" s="266"/>
      <c r="K116" s="266"/>
    </row>
    <row r="117" customFormat="false" ht="15.75" hidden="false" customHeight="false" outlineLevel="0" collapsed="false">
      <c r="D117" s="264"/>
      <c r="E117" s="265"/>
      <c r="F117" s="265"/>
      <c r="G117" s="265"/>
      <c r="H117" s="265"/>
      <c r="I117" s="265"/>
      <c r="J117" s="266"/>
      <c r="K117" s="266"/>
    </row>
    <row r="118" customFormat="false" ht="15.75" hidden="false" customHeight="false" outlineLevel="0" collapsed="false">
      <c r="D118" s="264"/>
      <c r="E118" s="265"/>
      <c r="F118" s="265"/>
      <c r="G118" s="265"/>
      <c r="H118" s="265"/>
      <c r="I118" s="265"/>
      <c r="J118" s="266"/>
      <c r="K118" s="266"/>
    </row>
    <row r="119" customFormat="false" ht="15.75" hidden="false" customHeight="false" outlineLevel="0" collapsed="false">
      <c r="D119" s="264"/>
      <c r="E119" s="265"/>
      <c r="F119" s="265"/>
      <c r="G119" s="265"/>
      <c r="H119" s="265"/>
      <c r="I119" s="265"/>
      <c r="J119" s="266"/>
      <c r="K119" s="266"/>
    </row>
    <row r="120" customFormat="false" ht="15.75" hidden="false" customHeight="false" outlineLevel="0" collapsed="false">
      <c r="D120" s="264"/>
      <c r="E120" s="265"/>
      <c r="F120" s="265"/>
      <c r="G120" s="265"/>
      <c r="H120" s="265"/>
      <c r="I120" s="265"/>
      <c r="J120" s="266"/>
      <c r="K120" s="266"/>
    </row>
    <row r="121" customFormat="false" ht="15.75" hidden="false" customHeight="false" outlineLevel="0" collapsed="false">
      <c r="D121" s="264"/>
      <c r="E121" s="265"/>
      <c r="F121" s="265"/>
      <c r="G121" s="265"/>
      <c r="H121" s="265"/>
      <c r="I121" s="265"/>
      <c r="J121" s="266"/>
      <c r="K121" s="266"/>
    </row>
    <row r="122" customFormat="false" ht="15.75" hidden="false" customHeight="false" outlineLevel="0" collapsed="false">
      <c r="D122" s="264"/>
      <c r="E122" s="265"/>
      <c r="F122" s="265"/>
      <c r="G122" s="265"/>
      <c r="H122" s="265"/>
      <c r="I122" s="265"/>
      <c r="J122" s="266"/>
      <c r="K122" s="266"/>
    </row>
    <row r="123" customFormat="false" ht="15.75" hidden="false" customHeight="false" outlineLevel="0" collapsed="false">
      <c r="D123" s="264"/>
      <c r="E123" s="265"/>
      <c r="F123" s="265"/>
      <c r="G123" s="265"/>
      <c r="H123" s="265"/>
      <c r="I123" s="265"/>
      <c r="J123" s="266"/>
      <c r="K123" s="266"/>
    </row>
    <row r="124" customFormat="false" ht="15.75" hidden="false" customHeight="false" outlineLevel="0" collapsed="false">
      <c r="D124" s="264"/>
      <c r="E124" s="265"/>
      <c r="F124" s="265"/>
      <c r="G124" s="265"/>
      <c r="H124" s="265"/>
      <c r="I124" s="265"/>
      <c r="J124" s="266"/>
      <c r="K124" s="266"/>
    </row>
    <row r="125" customFormat="false" ht="15.75" hidden="false" customHeight="false" outlineLevel="0" collapsed="false">
      <c r="D125" s="264"/>
      <c r="E125" s="265"/>
      <c r="F125" s="265"/>
      <c r="G125" s="265"/>
      <c r="H125" s="265"/>
      <c r="I125" s="265"/>
      <c r="J125" s="266"/>
      <c r="K125" s="266"/>
    </row>
    <row r="126" customFormat="false" ht="15.75" hidden="false" customHeight="false" outlineLevel="0" collapsed="false">
      <c r="D126" s="264"/>
      <c r="E126" s="265"/>
      <c r="F126" s="265"/>
      <c r="G126" s="265"/>
      <c r="H126" s="265"/>
      <c r="I126" s="265"/>
      <c r="J126" s="266"/>
      <c r="K126" s="266"/>
    </row>
    <row r="127" customFormat="false" ht="15.75" hidden="false" customHeight="false" outlineLevel="0" collapsed="false">
      <c r="D127" s="264"/>
      <c r="E127" s="265"/>
      <c r="F127" s="265"/>
      <c r="G127" s="265"/>
      <c r="H127" s="265"/>
      <c r="I127" s="265"/>
      <c r="J127" s="266"/>
      <c r="K127" s="266"/>
    </row>
    <row r="128" customFormat="false" ht="15.75" hidden="false" customHeight="false" outlineLevel="0" collapsed="false">
      <c r="D128" s="264"/>
      <c r="E128" s="265"/>
      <c r="F128" s="265"/>
      <c r="G128" s="265"/>
      <c r="H128" s="265"/>
      <c r="I128" s="265"/>
      <c r="J128" s="266"/>
      <c r="K128" s="266"/>
    </row>
    <row r="129" customFormat="false" ht="15.75" hidden="false" customHeight="false" outlineLevel="0" collapsed="false">
      <c r="D129" s="264"/>
      <c r="E129" s="265"/>
      <c r="F129" s="265"/>
      <c r="G129" s="265"/>
      <c r="H129" s="265"/>
      <c r="I129" s="265"/>
      <c r="J129" s="266"/>
      <c r="K129" s="266"/>
    </row>
    <row r="130" customFormat="false" ht="15.75" hidden="false" customHeight="false" outlineLevel="0" collapsed="false">
      <c r="D130" s="264"/>
      <c r="E130" s="265"/>
      <c r="F130" s="265"/>
      <c r="G130" s="265"/>
      <c r="H130" s="265"/>
      <c r="I130" s="265"/>
      <c r="J130" s="266"/>
      <c r="K130" s="266"/>
    </row>
    <row r="131" customFormat="false" ht="15.75" hidden="false" customHeight="false" outlineLevel="0" collapsed="false">
      <c r="D131" s="264"/>
      <c r="E131" s="265"/>
      <c r="F131" s="265"/>
      <c r="G131" s="265"/>
      <c r="H131" s="265"/>
      <c r="I131" s="265"/>
      <c r="J131" s="266"/>
      <c r="K131" s="266"/>
    </row>
    <row r="132" customFormat="false" ht="15.75" hidden="false" customHeight="false" outlineLevel="0" collapsed="false">
      <c r="D132" s="264"/>
      <c r="E132" s="265"/>
      <c r="F132" s="265"/>
      <c r="G132" s="265"/>
      <c r="H132" s="265"/>
      <c r="I132" s="265"/>
      <c r="J132" s="266"/>
      <c r="K132" s="266"/>
    </row>
    <row r="133" customFormat="false" ht="15.75" hidden="false" customHeight="false" outlineLevel="0" collapsed="false">
      <c r="D133" s="264"/>
      <c r="E133" s="265"/>
      <c r="F133" s="265"/>
      <c r="G133" s="265"/>
      <c r="H133" s="265"/>
      <c r="I133" s="265"/>
      <c r="J133" s="266"/>
      <c r="K133" s="266"/>
    </row>
    <row r="134" customFormat="false" ht="15.75" hidden="false" customHeight="false" outlineLevel="0" collapsed="false">
      <c r="D134" s="264"/>
      <c r="E134" s="265"/>
      <c r="F134" s="265"/>
      <c r="G134" s="265"/>
      <c r="H134" s="265"/>
      <c r="I134" s="265"/>
      <c r="J134" s="266"/>
      <c r="K134" s="266"/>
    </row>
    <row r="135" customFormat="false" ht="15.75" hidden="false" customHeight="false" outlineLevel="0" collapsed="false">
      <c r="D135" s="264"/>
      <c r="E135" s="265"/>
      <c r="F135" s="265"/>
      <c r="G135" s="265"/>
      <c r="H135" s="265"/>
      <c r="I135" s="265"/>
      <c r="J135" s="266"/>
      <c r="K135" s="266"/>
    </row>
    <row r="136" customFormat="false" ht="15.75" hidden="false" customHeight="false" outlineLevel="0" collapsed="false">
      <c r="D136" s="264"/>
      <c r="E136" s="265"/>
      <c r="F136" s="265"/>
      <c r="G136" s="265"/>
      <c r="H136" s="265"/>
      <c r="I136" s="265"/>
      <c r="J136" s="266"/>
      <c r="K136" s="266"/>
    </row>
    <row r="137" customFormat="false" ht="15.75" hidden="false" customHeight="false" outlineLevel="0" collapsed="false">
      <c r="D137" s="264"/>
      <c r="E137" s="265"/>
      <c r="F137" s="265"/>
      <c r="G137" s="265"/>
      <c r="H137" s="265"/>
      <c r="I137" s="265"/>
      <c r="J137" s="266"/>
      <c r="K137" s="266"/>
    </row>
    <row r="138" customFormat="false" ht="15.75" hidden="false" customHeight="false" outlineLevel="0" collapsed="false">
      <c r="D138" s="264"/>
      <c r="E138" s="265"/>
      <c r="F138" s="265"/>
      <c r="G138" s="265"/>
      <c r="H138" s="265"/>
      <c r="I138" s="265"/>
      <c r="J138" s="266"/>
      <c r="K138" s="266"/>
    </row>
    <row r="139" customFormat="false" ht="15.75" hidden="false" customHeight="false" outlineLevel="0" collapsed="false">
      <c r="D139" s="264"/>
      <c r="E139" s="265"/>
      <c r="F139" s="265"/>
      <c r="G139" s="265"/>
      <c r="H139" s="265"/>
      <c r="I139" s="265"/>
      <c r="J139" s="266"/>
      <c r="K139" s="266"/>
    </row>
    <row r="140" customFormat="false" ht="15.75" hidden="false" customHeight="false" outlineLevel="0" collapsed="false">
      <c r="D140" s="264"/>
      <c r="E140" s="265"/>
      <c r="F140" s="265"/>
      <c r="G140" s="265"/>
      <c r="H140" s="265"/>
      <c r="I140" s="265"/>
      <c r="J140" s="266"/>
      <c r="K140" s="266"/>
    </row>
    <row r="141" customFormat="false" ht="15.75" hidden="false" customHeight="false" outlineLevel="0" collapsed="false">
      <c r="D141" s="264"/>
      <c r="E141" s="265"/>
      <c r="F141" s="265"/>
      <c r="G141" s="265"/>
      <c r="H141" s="265"/>
      <c r="I141" s="265"/>
      <c r="J141" s="266"/>
      <c r="K141" s="266"/>
    </row>
    <row r="142" customFormat="false" ht="15.75" hidden="false" customHeight="false" outlineLevel="0" collapsed="false">
      <c r="D142" s="264"/>
      <c r="E142" s="265"/>
      <c r="F142" s="265"/>
      <c r="G142" s="265"/>
      <c r="H142" s="265"/>
      <c r="I142" s="265"/>
      <c r="J142" s="266"/>
      <c r="K142" s="266"/>
    </row>
    <row r="143" customFormat="false" ht="15.75" hidden="false" customHeight="false" outlineLevel="0" collapsed="false">
      <c r="D143" s="264"/>
      <c r="E143" s="265"/>
      <c r="F143" s="265"/>
      <c r="G143" s="265"/>
      <c r="H143" s="265"/>
      <c r="I143" s="265"/>
      <c r="J143" s="266"/>
      <c r="K143" s="266"/>
    </row>
    <row r="144" customFormat="false" ht="15.75" hidden="false" customHeight="false" outlineLevel="0" collapsed="false">
      <c r="D144" s="264"/>
      <c r="E144" s="265"/>
      <c r="F144" s="265"/>
      <c r="G144" s="265"/>
      <c r="H144" s="265"/>
      <c r="I144" s="265"/>
      <c r="J144" s="266"/>
      <c r="K144" s="266"/>
    </row>
    <row r="145" customFormat="false" ht="15.75" hidden="false" customHeight="false" outlineLevel="0" collapsed="false">
      <c r="D145" s="264"/>
      <c r="E145" s="265"/>
      <c r="F145" s="265"/>
      <c r="G145" s="265"/>
      <c r="H145" s="265"/>
      <c r="I145" s="265"/>
      <c r="J145" s="266"/>
      <c r="K145" s="266"/>
    </row>
    <row r="146" customFormat="false" ht="15.75" hidden="false" customHeight="false" outlineLevel="0" collapsed="false">
      <c r="D146" s="264"/>
      <c r="E146" s="265"/>
      <c r="F146" s="265"/>
      <c r="G146" s="265"/>
      <c r="H146" s="265"/>
      <c r="I146" s="265"/>
      <c r="J146" s="266"/>
      <c r="K146" s="266"/>
    </row>
    <row r="147" customFormat="false" ht="15.75" hidden="false" customHeight="false" outlineLevel="0" collapsed="false">
      <c r="D147" s="264"/>
      <c r="E147" s="265"/>
      <c r="F147" s="265"/>
      <c r="G147" s="265"/>
      <c r="H147" s="265"/>
      <c r="I147" s="265"/>
      <c r="J147" s="266"/>
      <c r="K147" s="266"/>
    </row>
    <row r="148" customFormat="false" ht="15.75" hidden="false" customHeight="false" outlineLevel="0" collapsed="false">
      <c r="D148" s="264"/>
      <c r="E148" s="265"/>
      <c r="F148" s="265"/>
      <c r="G148" s="265"/>
      <c r="H148" s="265"/>
      <c r="I148" s="265"/>
      <c r="J148" s="266"/>
      <c r="K148" s="266"/>
    </row>
    <row r="149" customFormat="false" ht="15.75" hidden="false" customHeight="false" outlineLevel="0" collapsed="false">
      <c r="D149" s="264"/>
      <c r="E149" s="265"/>
      <c r="F149" s="265"/>
      <c r="G149" s="265"/>
      <c r="H149" s="265"/>
      <c r="I149" s="265"/>
      <c r="J149" s="266"/>
      <c r="K149" s="266"/>
    </row>
    <row r="150" customFormat="false" ht="15.75" hidden="false" customHeight="false" outlineLevel="0" collapsed="false">
      <c r="D150" s="264"/>
      <c r="E150" s="265"/>
      <c r="F150" s="265"/>
      <c r="G150" s="265"/>
      <c r="H150" s="265"/>
      <c r="I150" s="265"/>
      <c r="J150" s="266"/>
      <c r="K150" s="266"/>
    </row>
    <row r="151" customFormat="false" ht="15.75" hidden="false" customHeight="false" outlineLevel="0" collapsed="false">
      <c r="D151" s="264"/>
      <c r="E151" s="265"/>
      <c r="F151" s="265"/>
      <c r="G151" s="265"/>
      <c r="H151" s="265"/>
      <c r="I151" s="265"/>
      <c r="J151" s="266"/>
      <c r="K151" s="266"/>
    </row>
    <row r="152" customFormat="false" ht="15.75" hidden="false" customHeight="false" outlineLevel="0" collapsed="false">
      <c r="D152" s="264"/>
      <c r="E152" s="265"/>
      <c r="F152" s="265"/>
      <c r="G152" s="265"/>
      <c r="H152" s="265"/>
      <c r="I152" s="265"/>
      <c r="J152" s="266"/>
      <c r="K152" s="266"/>
    </row>
    <row r="153" customFormat="false" ht="15.75" hidden="false" customHeight="false" outlineLevel="0" collapsed="false">
      <c r="D153" s="264"/>
      <c r="E153" s="265"/>
      <c r="F153" s="265"/>
      <c r="G153" s="265"/>
      <c r="H153" s="265"/>
      <c r="I153" s="265"/>
      <c r="J153" s="266"/>
      <c r="K153" s="266"/>
    </row>
    <row r="154" customFormat="false" ht="15.75" hidden="false" customHeight="false" outlineLevel="0" collapsed="false">
      <c r="D154" s="264"/>
      <c r="E154" s="265"/>
      <c r="F154" s="265"/>
      <c r="G154" s="265"/>
      <c r="H154" s="265"/>
      <c r="I154" s="265"/>
      <c r="J154" s="266"/>
      <c r="K154" s="266"/>
    </row>
    <row r="155" customFormat="false" ht="15.75" hidden="false" customHeight="false" outlineLevel="0" collapsed="false">
      <c r="D155" s="264"/>
      <c r="E155" s="265"/>
      <c r="F155" s="265"/>
      <c r="G155" s="265"/>
      <c r="H155" s="265"/>
      <c r="I155" s="265"/>
      <c r="J155" s="266"/>
      <c r="K155" s="266"/>
    </row>
    <row r="156" customFormat="false" ht="15.75" hidden="false" customHeight="false" outlineLevel="0" collapsed="false">
      <c r="D156" s="264"/>
      <c r="E156" s="265"/>
      <c r="F156" s="265"/>
      <c r="G156" s="265"/>
      <c r="H156" s="265"/>
      <c r="I156" s="265"/>
      <c r="J156" s="266"/>
      <c r="K156" s="266"/>
    </row>
    <row r="157" customFormat="false" ht="15.75" hidden="false" customHeight="false" outlineLevel="0" collapsed="false">
      <c r="D157" s="264"/>
      <c r="E157" s="265"/>
      <c r="F157" s="265"/>
      <c r="G157" s="265"/>
      <c r="H157" s="265"/>
      <c r="I157" s="265"/>
      <c r="J157" s="266"/>
      <c r="K157" s="266"/>
    </row>
    <row r="158" customFormat="false" ht="15.75" hidden="false" customHeight="false" outlineLevel="0" collapsed="false">
      <c r="D158" s="264"/>
      <c r="E158" s="265"/>
      <c r="F158" s="265"/>
      <c r="G158" s="265"/>
      <c r="H158" s="265"/>
      <c r="I158" s="265"/>
      <c r="J158" s="266"/>
      <c r="K158" s="266"/>
    </row>
    <row r="159" customFormat="false" ht="15.75" hidden="false" customHeight="false" outlineLevel="0" collapsed="false">
      <c r="D159" s="264"/>
      <c r="E159" s="265"/>
      <c r="F159" s="265"/>
      <c r="G159" s="265"/>
      <c r="H159" s="265"/>
      <c r="I159" s="265"/>
      <c r="J159" s="266"/>
      <c r="K159" s="266"/>
    </row>
    <row r="160" customFormat="false" ht="15.75" hidden="false" customHeight="false" outlineLevel="0" collapsed="false">
      <c r="D160" s="264"/>
      <c r="E160" s="265"/>
      <c r="F160" s="265"/>
      <c r="G160" s="265"/>
      <c r="H160" s="265"/>
      <c r="I160" s="265"/>
      <c r="J160" s="266"/>
      <c r="K160" s="266"/>
    </row>
    <row r="161" customFormat="false" ht="15.75" hidden="false" customHeight="false" outlineLevel="0" collapsed="false">
      <c r="D161" s="264"/>
      <c r="E161" s="265"/>
      <c r="F161" s="265"/>
      <c r="G161" s="265"/>
      <c r="H161" s="265"/>
      <c r="I161" s="265"/>
      <c r="J161" s="266"/>
      <c r="K161" s="266"/>
    </row>
    <row r="162" customFormat="false" ht="15.75" hidden="false" customHeight="false" outlineLevel="0" collapsed="false">
      <c r="D162" s="264"/>
      <c r="E162" s="265"/>
      <c r="F162" s="265"/>
      <c r="G162" s="265"/>
      <c r="H162" s="265"/>
      <c r="I162" s="265"/>
      <c r="J162" s="266"/>
      <c r="K162" s="266"/>
    </row>
    <row r="163" customFormat="false" ht="15.75" hidden="false" customHeight="false" outlineLevel="0" collapsed="false">
      <c r="D163" s="264"/>
      <c r="E163" s="265"/>
      <c r="F163" s="265"/>
      <c r="G163" s="265"/>
      <c r="H163" s="265"/>
      <c r="I163" s="265"/>
      <c r="J163" s="266"/>
      <c r="K163" s="266"/>
    </row>
    <row r="164" customFormat="false" ht="15.75" hidden="false" customHeight="false" outlineLevel="0" collapsed="false">
      <c r="D164" s="264"/>
      <c r="E164" s="265"/>
      <c r="F164" s="265"/>
      <c r="G164" s="265"/>
      <c r="H164" s="265"/>
      <c r="I164" s="265"/>
      <c r="J164" s="266"/>
      <c r="K164" s="266"/>
    </row>
    <row r="165" customFormat="false" ht="15.75" hidden="false" customHeight="false" outlineLevel="0" collapsed="false">
      <c r="D165" s="264"/>
      <c r="E165" s="265"/>
      <c r="F165" s="265"/>
      <c r="G165" s="265"/>
      <c r="H165" s="265"/>
      <c r="I165" s="265"/>
      <c r="J165" s="266"/>
      <c r="K165" s="266"/>
    </row>
    <row r="166" customFormat="false" ht="15.75" hidden="false" customHeight="false" outlineLevel="0" collapsed="false">
      <c r="D166" s="264"/>
      <c r="E166" s="265"/>
      <c r="F166" s="265"/>
      <c r="G166" s="265"/>
      <c r="H166" s="265"/>
      <c r="I166" s="265"/>
      <c r="J166" s="266"/>
      <c r="K166" s="266"/>
    </row>
    <row r="167" customFormat="false" ht="15.75" hidden="false" customHeight="false" outlineLevel="0" collapsed="false">
      <c r="D167" s="264"/>
      <c r="E167" s="265"/>
      <c r="F167" s="265"/>
      <c r="G167" s="265"/>
      <c r="H167" s="265"/>
      <c r="I167" s="265"/>
      <c r="J167" s="266"/>
      <c r="K167" s="266"/>
    </row>
    <row r="168" customFormat="false" ht="15.75" hidden="false" customHeight="false" outlineLevel="0" collapsed="false">
      <c r="D168" s="264"/>
      <c r="E168" s="265"/>
      <c r="F168" s="265"/>
      <c r="G168" s="265"/>
      <c r="H168" s="265"/>
      <c r="I168" s="265"/>
      <c r="J168" s="266"/>
      <c r="K168" s="266"/>
    </row>
    <row r="169" customFormat="false" ht="15.75" hidden="false" customHeight="false" outlineLevel="0" collapsed="false">
      <c r="D169" s="264"/>
      <c r="E169" s="265"/>
      <c r="F169" s="265"/>
      <c r="G169" s="265"/>
      <c r="H169" s="265"/>
      <c r="I169" s="265"/>
      <c r="J169" s="266"/>
      <c r="K169" s="266"/>
    </row>
    <row r="170" customFormat="false" ht="15.75" hidden="false" customHeight="false" outlineLevel="0" collapsed="false">
      <c r="D170" s="264"/>
      <c r="E170" s="265"/>
      <c r="F170" s="265"/>
      <c r="G170" s="265"/>
      <c r="H170" s="265"/>
      <c r="I170" s="265"/>
      <c r="J170" s="266"/>
      <c r="K170" s="266"/>
    </row>
    <row r="171" customFormat="false" ht="15.75" hidden="false" customHeight="false" outlineLevel="0" collapsed="false">
      <c r="D171" s="264"/>
      <c r="E171" s="265"/>
      <c r="F171" s="265"/>
      <c r="G171" s="265"/>
      <c r="H171" s="265"/>
      <c r="I171" s="265"/>
      <c r="J171" s="266"/>
      <c r="K171" s="266"/>
    </row>
    <row r="172" customFormat="false" ht="15.75" hidden="false" customHeight="false" outlineLevel="0" collapsed="false">
      <c r="D172" s="264"/>
      <c r="E172" s="265"/>
      <c r="F172" s="265"/>
      <c r="G172" s="265"/>
      <c r="H172" s="265"/>
      <c r="I172" s="265"/>
      <c r="J172" s="266"/>
      <c r="K172" s="266"/>
    </row>
    <row r="173" customFormat="false" ht="15.75" hidden="false" customHeight="false" outlineLevel="0" collapsed="false">
      <c r="D173" s="264"/>
      <c r="E173" s="265"/>
      <c r="F173" s="265"/>
      <c r="G173" s="265"/>
      <c r="H173" s="265"/>
      <c r="I173" s="265"/>
      <c r="J173" s="266"/>
      <c r="K173" s="266"/>
    </row>
    <row r="174" customFormat="false" ht="15.75" hidden="false" customHeight="false" outlineLevel="0" collapsed="false">
      <c r="D174" s="264"/>
      <c r="E174" s="265"/>
      <c r="F174" s="265"/>
      <c r="G174" s="265"/>
      <c r="H174" s="265"/>
      <c r="I174" s="265"/>
      <c r="J174" s="266"/>
      <c r="K174" s="266"/>
    </row>
    <row r="175" customFormat="false" ht="15.75" hidden="false" customHeight="false" outlineLevel="0" collapsed="false">
      <c r="D175" s="264"/>
      <c r="E175" s="265"/>
      <c r="F175" s="265"/>
      <c r="G175" s="265"/>
      <c r="H175" s="265"/>
      <c r="I175" s="265"/>
      <c r="J175" s="266"/>
      <c r="K175" s="266"/>
    </row>
    <row r="176" customFormat="false" ht="15.75" hidden="false" customHeight="false" outlineLevel="0" collapsed="false">
      <c r="D176" s="264"/>
      <c r="E176" s="265"/>
      <c r="F176" s="265"/>
      <c r="G176" s="265"/>
      <c r="H176" s="265"/>
      <c r="I176" s="265"/>
      <c r="J176" s="266"/>
      <c r="K176" s="266"/>
    </row>
    <row r="177" customFormat="false" ht="15.75" hidden="false" customHeight="false" outlineLevel="0" collapsed="false">
      <c r="D177" s="264"/>
      <c r="E177" s="265"/>
      <c r="F177" s="265"/>
      <c r="G177" s="265"/>
      <c r="H177" s="265"/>
      <c r="I177" s="265"/>
      <c r="J177" s="266"/>
      <c r="K177" s="266"/>
    </row>
    <row r="178" customFormat="false" ht="15.75" hidden="false" customHeight="false" outlineLevel="0" collapsed="false">
      <c r="D178" s="264"/>
      <c r="E178" s="265"/>
      <c r="F178" s="265"/>
      <c r="G178" s="265"/>
      <c r="H178" s="265"/>
      <c r="I178" s="265"/>
      <c r="J178" s="266"/>
      <c r="K178" s="266"/>
    </row>
    <row r="179" customFormat="false" ht="15.75" hidden="false" customHeight="false" outlineLevel="0" collapsed="false">
      <c r="D179" s="264"/>
      <c r="E179" s="265"/>
      <c r="F179" s="265"/>
      <c r="G179" s="265"/>
      <c r="H179" s="265"/>
      <c r="I179" s="265"/>
      <c r="J179" s="266"/>
      <c r="K179" s="266"/>
    </row>
    <row r="180" customFormat="false" ht="15.75" hidden="false" customHeight="false" outlineLevel="0" collapsed="false">
      <c r="D180" s="264"/>
      <c r="E180" s="265"/>
      <c r="F180" s="265"/>
      <c r="G180" s="265"/>
      <c r="H180" s="265"/>
      <c r="I180" s="265"/>
      <c r="J180" s="266"/>
      <c r="K180" s="266"/>
    </row>
    <row r="181" customFormat="false" ht="15.75" hidden="false" customHeight="false" outlineLevel="0" collapsed="false">
      <c r="D181" s="264"/>
      <c r="E181" s="265"/>
      <c r="F181" s="265"/>
      <c r="G181" s="265"/>
      <c r="H181" s="265"/>
      <c r="I181" s="265"/>
      <c r="J181" s="266"/>
      <c r="K181" s="266"/>
    </row>
    <row r="182" customFormat="false" ht="15.75" hidden="false" customHeight="false" outlineLevel="0" collapsed="false">
      <c r="D182" s="264"/>
      <c r="E182" s="265"/>
      <c r="F182" s="265"/>
      <c r="G182" s="265"/>
      <c r="H182" s="265"/>
      <c r="I182" s="265"/>
      <c r="J182" s="266"/>
      <c r="K182" s="266"/>
    </row>
    <row r="183" customFormat="false" ht="15.75" hidden="false" customHeight="false" outlineLevel="0" collapsed="false">
      <c r="D183" s="264"/>
      <c r="E183" s="265"/>
      <c r="F183" s="265"/>
      <c r="G183" s="265"/>
      <c r="H183" s="265"/>
      <c r="I183" s="265"/>
      <c r="J183" s="266"/>
      <c r="K183" s="266"/>
    </row>
    <row r="184" customFormat="false" ht="15.75" hidden="false" customHeight="false" outlineLevel="0" collapsed="false">
      <c r="D184" s="264"/>
      <c r="E184" s="265"/>
      <c r="F184" s="265"/>
      <c r="G184" s="265"/>
      <c r="H184" s="265"/>
      <c r="I184" s="265"/>
      <c r="J184" s="266"/>
      <c r="K184" s="266"/>
    </row>
    <row r="185" customFormat="false" ht="15.75" hidden="false" customHeight="false" outlineLevel="0" collapsed="false">
      <c r="D185" s="264"/>
      <c r="E185" s="265"/>
      <c r="F185" s="265"/>
      <c r="G185" s="265"/>
      <c r="H185" s="265"/>
      <c r="I185" s="265"/>
      <c r="J185" s="266"/>
      <c r="K185" s="266"/>
    </row>
    <row r="186" customFormat="false" ht="15.75" hidden="false" customHeight="false" outlineLevel="0" collapsed="false">
      <c r="D186" s="264"/>
      <c r="E186" s="265"/>
      <c r="F186" s="265"/>
      <c r="G186" s="265"/>
      <c r="H186" s="265"/>
      <c r="I186" s="265"/>
      <c r="J186" s="266"/>
      <c r="K186" s="266"/>
    </row>
    <row r="187" customFormat="false" ht="15.75" hidden="false" customHeight="false" outlineLevel="0" collapsed="false">
      <c r="D187" s="264"/>
      <c r="E187" s="265"/>
      <c r="F187" s="265"/>
      <c r="G187" s="265"/>
      <c r="H187" s="265"/>
      <c r="I187" s="265"/>
      <c r="J187" s="266"/>
      <c r="K187" s="266"/>
    </row>
    <row r="188" customFormat="false" ht="15.75" hidden="false" customHeight="false" outlineLevel="0" collapsed="false">
      <c r="D188" s="264"/>
      <c r="E188" s="265"/>
      <c r="F188" s="265"/>
      <c r="G188" s="265"/>
      <c r="H188" s="265"/>
      <c r="I188" s="265"/>
      <c r="J188" s="266"/>
      <c r="K188" s="266"/>
    </row>
    <row r="189" customFormat="false" ht="15.75" hidden="false" customHeight="false" outlineLevel="0" collapsed="false">
      <c r="D189" s="264"/>
      <c r="E189" s="265"/>
      <c r="F189" s="265"/>
      <c r="G189" s="265"/>
      <c r="H189" s="265"/>
      <c r="I189" s="265"/>
      <c r="J189" s="266"/>
      <c r="K189" s="266"/>
    </row>
    <row r="190" customFormat="false" ht="15.75" hidden="false" customHeight="false" outlineLevel="0" collapsed="false">
      <c r="D190" s="264"/>
      <c r="E190" s="265"/>
      <c r="F190" s="265"/>
      <c r="G190" s="265"/>
      <c r="H190" s="265"/>
      <c r="I190" s="265"/>
      <c r="J190" s="266"/>
      <c r="K190" s="266"/>
    </row>
    <row r="191" customFormat="false" ht="15.75" hidden="false" customHeight="false" outlineLevel="0" collapsed="false">
      <c r="D191" s="264"/>
      <c r="E191" s="265"/>
      <c r="F191" s="265"/>
      <c r="G191" s="265"/>
      <c r="H191" s="265"/>
      <c r="I191" s="265"/>
      <c r="J191" s="266"/>
      <c r="K191" s="266"/>
    </row>
    <row r="192" customFormat="false" ht="15.75" hidden="false" customHeight="false" outlineLevel="0" collapsed="false">
      <c r="D192" s="264"/>
      <c r="E192" s="265"/>
      <c r="F192" s="265"/>
      <c r="G192" s="265"/>
      <c r="H192" s="265"/>
      <c r="I192" s="265"/>
      <c r="J192" s="266"/>
      <c r="K192" s="266"/>
    </row>
    <row r="193" customFormat="false" ht="15.75" hidden="false" customHeight="false" outlineLevel="0" collapsed="false">
      <c r="D193" s="264"/>
      <c r="E193" s="265"/>
      <c r="F193" s="265"/>
      <c r="G193" s="265"/>
      <c r="H193" s="265"/>
      <c r="I193" s="265"/>
      <c r="J193" s="266"/>
      <c r="K193" s="266"/>
    </row>
    <row r="194" customFormat="false" ht="15.75" hidden="false" customHeight="false" outlineLevel="0" collapsed="false">
      <c r="D194" s="264"/>
      <c r="E194" s="265"/>
      <c r="F194" s="265"/>
      <c r="G194" s="265"/>
      <c r="H194" s="265"/>
      <c r="I194" s="265"/>
      <c r="J194" s="266"/>
      <c r="K194" s="266"/>
    </row>
    <row r="195" customFormat="false" ht="15.75" hidden="false" customHeight="false" outlineLevel="0" collapsed="false">
      <c r="D195" s="264"/>
      <c r="E195" s="265"/>
      <c r="F195" s="265"/>
      <c r="G195" s="265"/>
      <c r="H195" s="265"/>
      <c r="I195" s="265"/>
      <c r="J195" s="266"/>
      <c r="K195" s="266"/>
    </row>
    <row r="196" customFormat="false" ht="15.75" hidden="false" customHeight="false" outlineLevel="0" collapsed="false">
      <c r="D196" s="264"/>
      <c r="E196" s="265"/>
      <c r="F196" s="265"/>
      <c r="G196" s="265"/>
      <c r="H196" s="265"/>
      <c r="I196" s="265"/>
      <c r="J196" s="266"/>
      <c r="K196" s="266"/>
    </row>
    <row r="197" customFormat="false" ht="15.75" hidden="false" customHeight="false" outlineLevel="0" collapsed="false">
      <c r="D197" s="264"/>
      <c r="E197" s="265"/>
      <c r="F197" s="265"/>
      <c r="G197" s="265"/>
      <c r="H197" s="265"/>
      <c r="I197" s="265"/>
      <c r="J197" s="266"/>
      <c r="K197" s="266"/>
    </row>
    <row r="198" customFormat="false" ht="15.75" hidden="false" customHeight="false" outlineLevel="0" collapsed="false">
      <c r="D198" s="264"/>
      <c r="E198" s="265"/>
      <c r="F198" s="265"/>
      <c r="G198" s="265"/>
      <c r="H198" s="265"/>
      <c r="I198" s="265"/>
      <c r="J198" s="266"/>
      <c r="K198" s="266"/>
    </row>
    <row r="199" customFormat="false" ht="15.75" hidden="false" customHeight="false" outlineLevel="0" collapsed="false">
      <c r="D199" s="264"/>
      <c r="E199" s="265"/>
      <c r="F199" s="265"/>
      <c r="G199" s="265"/>
      <c r="H199" s="265"/>
      <c r="I199" s="265"/>
      <c r="J199" s="266"/>
      <c r="K199" s="266"/>
    </row>
    <row r="200" customFormat="false" ht="15.75" hidden="false" customHeight="false" outlineLevel="0" collapsed="false">
      <c r="D200" s="264"/>
      <c r="E200" s="265"/>
      <c r="F200" s="265"/>
      <c r="G200" s="265"/>
      <c r="H200" s="265"/>
      <c r="I200" s="265"/>
      <c r="J200" s="266"/>
      <c r="K200" s="266"/>
    </row>
    <row r="201" customFormat="false" ht="15.75" hidden="false" customHeight="false" outlineLevel="0" collapsed="false">
      <c r="D201" s="264"/>
      <c r="E201" s="265"/>
      <c r="F201" s="265"/>
      <c r="G201" s="265"/>
      <c r="H201" s="265"/>
      <c r="I201" s="265"/>
      <c r="J201" s="266"/>
      <c r="K201" s="266"/>
    </row>
    <row r="202" customFormat="false" ht="15.75" hidden="false" customHeight="false" outlineLevel="0" collapsed="false">
      <c r="D202" s="264"/>
      <c r="E202" s="265"/>
      <c r="F202" s="265"/>
      <c r="G202" s="265"/>
      <c r="H202" s="265"/>
      <c r="I202" s="265"/>
      <c r="J202" s="266"/>
      <c r="K202" s="266"/>
    </row>
    <row r="203" customFormat="false" ht="15.75" hidden="false" customHeight="false" outlineLevel="0" collapsed="false">
      <c r="D203" s="264"/>
      <c r="E203" s="265"/>
      <c r="F203" s="265"/>
      <c r="G203" s="265"/>
      <c r="H203" s="265"/>
      <c r="I203" s="265"/>
      <c r="J203" s="266"/>
      <c r="K203" s="266"/>
    </row>
    <row r="204" customFormat="false" ht="15.75" hidden="false" customHeight="false" outlineLevel="0" collapsed="false">
      <c r="D204" s="264"/>
      <c r="E204" s="265"/>
      <c r="F204" s="265"/>
      <c r="G204" s="265"/>
      <c r="H204" s="265"/>
      <c r="I204" s="265"/>
      <c r="J204" s="266"/>
      <c r="K204" s="266"/>
    </row>
    <row r="205" customFormat="false" ht="15.75" hidden="false" customHeight="false" outlineLevel="0" collapsed="false">
      <c r="D205" s="264"/>
      <c r="E205" s="265"/>
      <c r="F205" s="265"/>
      <c r="G205" s="265"/>
      <c r="H205" s="265"/>
      <c r="I205" s="265"/>
      <c r="J205" s="266"/>
      <c r="K205" s="266"/>
    </row>
    <row r="206" customFormat="false" ht="15.75" hidden="false" customHeight="false" outlineLevel="0" collapsed="false">
      <c r="D206" s="264"/>
      <c r="E206" s="265"/>
      <c r="F206" s="265"/>
      <c r="G206" s="265"/>
      <c r="H206" s="265"/>
      <c r="I206" s="265"/>
      <c r="J206" s="266"/>
      <c r="K206" s="266"/>
    </row>
    <row r="207" customFormat="false" ht="15.75" hidden="false" customHeight="false" outlineLevel="0" collapsed="false">
      <c r="D207" s="264"/>
      <c r="E207" s="265"/>
      <c r="F207" s="265"/>
      <c r="G207" s="265"/>
      <c r="H207" s="265"/>
      <c r="I207" s="265"/>
      <c r="J207" s="266"/>
      <c r="K207" s="266"/>
    </row>
    <row r="208" customFormat="false" ht="15.75" hidden="false" customHeight="false" outlineLevel="0" collapsed="false">
      <c r="D208" s="264"/>
      <c r="E208" s="265"/>
      <c r="F208" s="265"/>
      <c r="G208" s="265"/>
      <c r="H208" s="265"/>
      <c r="I208" s="265"/>
      <c r="J208" s="266"/>
      <c r="K208" s="266"/>
    </row>
    <row r="209" customFormat="false" ht="15.75" hidden="false" customHeight="false" outlineLevel="0" collapsed="false">
      <c r="D209" s="264"/>
      <c r="E209" s="265"/>
      <c r="F209" s="265"/>
      <c r="G209" s="265"/>
      <c r="H209" s="265"/>
      <c r="I209" s="265"/>
      <c r="J209" s="266"/>
      <c r="K209" s="266"/>
    </row>
    <row r="210" customFormat="false" ht="15.75" hidden="false" customHeight="false" outlineLevel="0" collapsed="false">
      <c r="D210" s="264"/>
      <c r="E210" s="265"/>
      <c r="F210" s="265"/>
      <c r="G210" s="265"/>
      <c r="H210" s="265"/>
      <c r="I210" s="265"/>
      <c r="J210" s="266"/>
      <c r="K210" s="266"/>
    </row>
    <row r="211" customFormat="false" ht="15.75" hidden="false" customHeight="false" outlineLevel="0" collapsed="false">
      <c r="D211" s="264"/>
      <c r="E211" s="265"/>
      <c r="F211" s="265"/>
      <c r="G211" s="265"/>
      <c r="H211" s="265"/>
      <c r="I211" s="265"/>
      <c r="J211" s="266"/>
      <c r="K211" s="266"/>
    </row>
    <row r="212" customFormat="false" ht="15.75" hidden="false" customHeight="false" outlineLevel="0" collapsed="false">
      <c r="D212" s="264"/>
      <c r="E212" s="265"/>
      <c r="F212" s="265"/>
      <c r="G212" s="265"/>
      <c r="H212" s="265"/>
      <c r="I212" s="265"/>
      <c r="J212" s="266"/>
      <c r="K212" s="266"/>
    </row>
    <row r="213" customFormat="false" ht="15.75" hidden="false" customHeight="false" outlineLevel="0" collapsed="false">
      <c r="D213" s="264"/>
      <c r="E213" s="265"/>
      <c r="F213" s="265"/>
      <c r="G213" s="265"/>
      <c r="H213" s="265"/>
      <c r="I213" s="265"/>
      <c r="J213" s="266"/>
      <c r="K213" s="266"/>
    </row>
    <row r="214" customFormat="false" ht="15.75" hidden="false" customHeight="false" outlineLevel="0" collapsed="false">
      <c r="D214" s="264"/>
      <c r="E214" s="265"/>
      <c r="F214" s="265"/>
      <c r="G214" s="265"/>
      <c r="H214" s="265"/>
      <c r="I214" s="265"/>
      <c r="J214" s="266"/>
      <c r="K214" s="266"/>
    </row>
    <row r="215" customFormat="false" ht="15.75" hidden="false" customHeight="false" outlineLevel="0" collapsed="false">
      <c r="D215" s="264"/>
      <c r="E215" s="265"/>
      <c r="F215" s="265"/>
      <c r="G215" s="265"/>
      <c r="H215" s="265"/>
      <c r="I215" s="265"/>
      <c r="J215" s="266"/>
      <c r="K215" s="266"/>
    </row>
    <row r="216" customFormat="false" ht="15.75" hidden="false" customHeight="false" outlineLevel="0" collapsed="false">
      <c r="D216" s="264"/>
      <c r="E216" s="265"/>
      <c r="F216" s="265"/>
      <c r="G216" s="265"/>
      <c r="H216" s="265"/>
      <c r="I216" s="265"/>
      <c r="J216" s="266"/>
      <c r="K216" s="266"/>
    </row>
    <row r="217" customFormat="false" ht="15.75" hidden="false" customHeight="false" outlineLevel="0" collapsed="false">
      <c r="D217" s="264"/>
      <c r="E217" s="265"/>
      <c r="F217" s="265"/>
      <c r="G217" s="265"/>
      <c r="H217" s="265"/>
      <c r="I217" s="265"/>
      <c r="J217" s="266"/>
      <c r="K217" s="266"/>
    </row>
    <row r="218" customFormat="false" ht="15.75" hidden="false" customHeight="false" outlineLevel="0" collapsed="false">
      <c r="D218" s="264"/>
      <c r="E218" s="265"/>
      <c r="F218" s="265"/>
      <c r="G218" s="265"/>
      <c r="H218" s="265"/>
      <c r="I218" s="265"/>
      <c r="J218" s="266"/>
      <c r="K218" s="266"/>
    </row>
    <row r="219" customFormat="false" ht="15.75" hidden="false" customHeight="false" outlineLevel="0" collapsed="false">
      <c r="D219" s="264"/>
      <c r="E219" s="265"/>
      <c r="F219" s="265"/>
      <c r="G219" s="265"/>
      <c r="H219" s="265"/>
      <c r="I219" s="265"/>
      <c r="J219" s="266"/>
      <c r="K219" s="266"/>
    </row>
    <row r="220" customFormat="false" ht="15.75" hidden="false" customHeight="false" outlineLevel="0" collapsed="false">
      <c r="D220" s="264"/>
      <c r="E220" s="265"/>
      <c r="F220" s="265"/>
      <c r="G220" s="265"/>
      <c r="H220" s="265"/>
      <c r="I220" s="265"/>
      <c r="J220" s="266"/>
      <c r="K220" s="266"/>
    </row>
    <row r="221" customFormat="false" ht="15.75" hidden="false" customHeight="false" outlineLevel="0" collapsed="false">
      <c r="D221" s="264"/>
      <c r="E221" s="265"/>
      <c r="F221" s="265"/>
      <c r="G221" s="265"/>
      <c r="H221" s="265"/>
      <c r="I221" s="265"/>
      <c r="J221" s="266"/>
      <c r="K221" s="266"/>
    </row>
    <row r="222" customFormat="false" ht="15.75" hidden="false" customHeight="false" outlineLevel="0" collapsed="false">
      <c r="D222" s="264"/>
      <c r="E222" s="265"/>
      <c r="F222" s="265"/>
      <c r="G222" s="265"/>
      <c r="H222" s="265"/>
      <c r="I222" s="265"/>
      <c r="J222" s="266"/>
      <c r="K222" s="266"/>
    </row>
    <row r="223" customFormat="false" ht="15.75" hidden="false" customHeight="false" outlineLevel="0" collapsed="false">
      <c r="D223" s="264"/>
      <c r="E223" s="265"/>
      <c r="F223" s="265"/>
      <c r="G223" s="265"/>
      <c r="H223" s="265"/>
      <c r="I223" s="265"/>
      <c r="J223" s="266"/>
      <c r="K223" s="266"/>
    </row>
    <row r="224" customFormat="false" ht="15.75" hidden="false" customHeight="false" outlineLevel="0" collapsed="false">
      <c r="D224" s="264"/>
      <c r="E224" s="265"/>
      <c r="F224" s="265"/>
      <c r="G224" s="265"/>
      <c r="H224" s="265"/>
      <c r="I224" s="265"/>
      <c r="J224" s="266"/>
      <c r="K224" s="266"/>
    </row>
    <row r="225" customFormat="false" ht="15.75" hidden="false" customHeight="false" outlineLevel="0" collapsed="false">
      <c r="D225" s="264"/>
      <c r="E225" s="265"/>
      <c r="F225" s="265"/>
      <c r="G225" s="265"/>
      <c r="H225" s="265"/>
      <c r="I225" s="265"/>
      <c r="J225" s="266"/>
      <c r="K225" s="266"/>
    </row>
    <row r="226" customFormat="false" ht="15.75" hidden="false" customHeight="false" outlineLevel="0" collapsed="false">
      <c r="D226" s="264"/>
      <c r="E226" s="265"/>
      <c r="F226" s="265"/>
      <c r="G226" s="265"/>
      <c r="H226" s="265"/>
      <c r="I226" s="265"/>
      <c r="J226" s="266"/>
      <c r="K226" s="266"/>
    </row>
    <row r="227" customFormat="false" ht="15.75" hidden="false" customHeight="false" outlineLevel="0" collapsed="false">
      <c r="D227" s="264"/>
      <c r="E227" s="265"/>
      <c r="F227" s="265"/>
      <c r="G227" s="265"/>
      <c r="H227" s="265"/>
      <c r="I227" s="265"/>
      <c r="J227" s="266"/>
      <c r="K227" s="266"/>
    </row>
    <row r="228" customFormat="false" ht="15.75" hidden="false" customHeight="false" outlineLevel="0" collapsed="false">
      <c r="D228" s="264"/>
      <c r="E228" s="265"/>
      <c r="F228" s="265"/>
      <c r="G228" s="265"/>
      <c r="H228" s="265"/>
      <c r="I228" s="265"/>
      <c r="J228" s="266"/>
      <c r="K228" s="266"/>
    </row>
    <row r="229" customFormat="false" ht="15.75" hidden="false" customHeight="false" outlineLevel="0" collapsed="false">
      <c r="D229" s="264"/>
      <c r="E229" s="265"/>
      <c r="F229" s="265"/>
      <c r="G229" s="265"/>
      <c r="H229" s="265"/>
      <c r="I229" s="265"/>
      <c r="J229" s="266"/>
      <c r="K229" s="266"/>
    </row>
    <row r="230" customFormat="false" ht="15.75" hidden="false" customHeight="false" outlineLevel="0" collapsed="false">
      <c r="D230" s="264"/>
      <c r="E230" s="265"/>
      <c r="F230" s="265"/>
      <c r="G230" s="265"/>
      <c r="H230" s="265"/>
      <c r="I230" s="265"/>
      <c r="J230" s="266"/>
      <c r="K230" s="266"/>
    </row>
    <row r="231" customFormat="false" ht="15.75" hidden="false" customHeight="false" outlineLevel="0" collapsed="false">
      <c r="D231" s="264"/>
      <c r="E231" s="265"/>
      <c r="F231" s="265"/>
      <c r="G231" s="265"/>
      <c r="H231" s="265"/>
      <c r="I231" s="265"/>
      <c r="J231" s="266"/>
      <c r="K231" s="266"/>
    </row>
    <row r="232" customFormat="false" ht="15.75" hidden="false" customHeight="false" outlineLevel="0" collapsed="false">
      <c r="D232" s="264"/>
      <c r="E232" s="265"/>
      <c r="F232" s="265"/>
      <c r="G232" s="265"/>
      <c r="H232" s="265"/>
      <c r="I232" s="265"/>
      <c r="J232" s="266"/>
      <c r="K232" s="266"/>
    </row>
    <row r="233" customFormat="false" ht="15.75" hidden="false" customHeight="false" outlineLevel="0" collapsed="false">
      <c r="D233" s="264"/>
      <c r="E233" s="265"/>
      <c r="F233" s="265"/>
      <c r="G233" s="265"/>
      <c r="H233" s="265"/>
      <c r="I233" s="265"/>
      <c r="J233" s="266"/>
      <c r="K233" s="266"/>
    </row>
    <row r="234" customFormat="false" ht="15.75" hidden="false" customHeight="false" outlineLevel="0" collapsed="false">
      <c r="D234" s="264"/>
      <c r="E234" s="265"/>
      <c r="F234" s="265"/>
      <c r="G234" s="265"/>
      <c r="H234" s="265"/>
      <c r="I234" s="265"/>
      <c r="J234" s="266"/>
      <c r="K234" s="266"/>
    </row>
    <row r="235" customFormat="false" ht="15.75" hidden="false" customHeight="false" outlineLevel="0" collapsed="false">
      <c r="D235" s="264"/>
      <c r="E235" s="265"/>
      <c r="F235" s="265"/>
      <c r="G235" s="265"/>
      <c r="H235" s="265"/>
      <c r="I235" s="265"/>
      <c r="J235" s="266"/>
      <c r="K235" s="266"/>
    </row>
    <row r="236" customFormat="false" ht="15.75" hidden="false" customHeight="false" outlineLevel="0" collapsed="false">
      <c r="D236" s="264"/>
      <c r="E236" s="265"/>
      <c r="F236" s="265"/>
      <c r="G236" s="265"/>
      <c r="H236" s="265"/>
      <c r="I236" s="265"/>
      <c r="J236" s="266"/>
      <c r="K236" s="266"/>
    </row>
    <row r="237" customFormat="false" ht="15.75" hidden="false" customHeight="false" outlineLevel="0" collapsed="false">
      <c r="D237" s="264"/>
      <c r="E237" s="265"/>
      <c r="F237" s="265"/>
      <c r="G237" s="265"/>
      <c r="H237" s="265"/>
      <c r="I237" s="265"/>
      <c r="J237" s="266"/>
      <c r="K237" s="266"/>
    </row>
    <row r="238" customFormat="false" ht="15.75" hidden="false" customHeight="false" outlineLevel="0" collapsed="false">
      <c r="D238" s="264"/>
      <c r="E238" s="265"/>
      <c r="F238" s="265"/>
      <c r="G238" s="265"/>
      <c r="H238" s="265"/>
      <c r="I238" s="265"/>
      <c r="J238" s="266"/>
      <c r="K238" s="266"/>
    </row>
    <row r="239" customFormat="false" ht="15.75" hidden="false" customHeight="false" outlineLevel="0" collapsed="false">
      <c r="D239" s="264"/>
      <c r="E239" s="265"/>
      <c r="F239" s="265"/>
      <c r="G239" s="265"/>
      <c r="H239" s="265"/>
      <c r="I239" s="265"/>
      <c r="J239" s="266"/>
      <c r="K239" s="266"/>
    </row>
    <row r="240" customFormat="false" ht="15.75" hidden="false" customHeight="false" outlineLevel="0" collapsed="false">
      <c r="D240" s="264"/>
      <c r="E240" s="265"/>
      <c r="F240" s="265"/>
      <c r="G240" s="265"/>
      <c r="H240" s="265"/>
      <c r="I240" s="265"/>
      <c r="J240" s="266"/>
      <c r="K240" s="266"/>
    </row>
    <row r="241" customFormat="false" ht="15.75" hidden="false" customHeight="false" outlineLevel="0" collapsed="false">
      <c r="D241" s="264"/>
      <c r="E241" s="265"/>
      <c r="F241" s="265"/>
      <c r="G241" s="265"/>
      <c r="H241" s="265"/>
      <c r="I241" s="265"/>
      <c r="J241" s="266"/>
      <c r="K241" s="266"/>
    </row>
    <row r="242" customFormat="false" ht="15.75" hidden="false" customHeight="false" outlineLevel="0" collapsed="false">
      <c r="D242" s="264"/>
      <c r="E242" s="265"/>
      <c r="F242" s="265"/>
      <c r="G242" s="265"/>
      <c r="H242" s="265"/>
      <c r="I242" s="265"/>
      <c r="J242" s="266"/>
      <c r="K242" s="266"/>
    </row>
    <row r="243" customFormat="false" ht="15.75" hidden="false" customHeight="false" outlineLevel="0" collapsed="false">
      <c r="D243" s="264"/>
      <c r="E243" s="265"/>
      <c r="F243" s="265"/>
      <c r="G243" s="265"/>
      <c r="H243" s="265"/>
      <c r="I243" s="265"/>
      <c r="J243" s="266"/>
      <c r="K243" s="266"/>
    </row>
    <row r="244" customFormat="false" ht="15.75" hidden="false" customHeight="false" outlineLevel="0" collapsed="false">
      <c r="D244" s="264"/>
      <c r="E244" s="265"/>
      <c r="F244" s="265"/>
      <c r="G244" s="265"/>
      <c r="H244" s="265"/>
      <c r="I244" s="265"/>
      <c r="J244" s="266"/>
      <c r="K244" s="266"/>
    </row>
    <row r="245" customFormat="false" ht="15.75" hidden="false" customHeight="false" outlineLevel="0" collapsed="false">
      <c r="D245" s="264"/>
      <c r="E245" s="265"/>
      <c r="F245" s="265"/>
      <c r="G245" s="265"/>
      <c r="H245" s="265"/>
      <c r="I245" s="265"/>
      <c r="J245" s="266"/>
      <c r="K245" s="266"/>
    </row>
    <row r="246" customFormat="false" ht="15.75" hidden="false" customHeight="false" outlineLevel="0" collapsed="false">
      <c r="D246" s="264"/>
      <c r="E246" s="265"/>
      <c r="F246" s="265"/>
      <c r="G246" s="265"/>
      <c r="H246" s="265"/>
      <c r="I246" s="265"/>
      <c r="J246" s="266"/>
      <c r="K246" s="266"/>
    </row>
    <row r="247" customFormat="false" ht="15.75" hidden="false" customHeight="false" outlineLevel="0" collapsed="false">
      <c r="D247" s="264"/>
      <c r="E247" s="265"/>
      <c r="F247" s="265"/>
      <c r="G247" s="265"/>
      <c r="H247" s="265"/>
      <c r="I247" s="265"/>
      <c r="J247" s="266"/>
      <c r="K247" s="266"/>
    </row>
    <row r="248" customFormat="false" ht="15.75" hidden="false" customHeight="false" outlineLevel="0" collapsed="false">
      <c r="D248" s="264"/>
      <c r="E248" s="265"/>
      <c r="F248" s="265"/>
      <c r="G248" s="265"/>
      <c r="H248" s="265"/>
      <c r="I248" s="265"/>
      <c r="J248" s="266"/>
      <c r="K248" s="266"/>
    </row>
    <row r="249" customFormat="false" ht="15.75" hidden="false" customHeight="false" outlineLevel="0" collapsed="false">
      <c r="D249" s="264"/>
      <c r="E249" s="265"/>
      <c r="F249" s="265"/>
      <c r="G249" s="265"/>
      <c r="H249" s="265"/>
      <c r="I249" s="265"/>
      <c r="J249" s="266"/>
      <c r="K249" s="266"/>
    </row>
    <row r="250" customFormat="false" ht="15.75" hidden="false" customHeight="false" outlineLevel="0" collapsed="false">
      <c r="D250" s="264"/>
      <c r="E250" s="265"/>
      <c r="F250" s="265"/>
      <c r="G250" s="265"/>
      <c r="H250" s="265"/>
      <c r="I250" s="265"/>
      <c r="J250" s="266"/>
      <c r="K250" s="266"/>
    </row>
    <row r="251" customFormat="false" ht="15.75" hidden="false" customHeight="false" outlineLevel="0" collapsed="false">
      <c r="D251" s="264"/>
      <c r="E251" s="265"/>
      <c r="F251" s="265"/>
      <c r="G251" s="265"/>
      <c r="H251" s="265"/>
      <c r="I251" s="265"/>
      <c r="J251" s="266"/>
      <c r="K251" s="266"/>
    </row>
    <row r="252" customFormat="false" ht="15.75" hidden="false" customHeight="false" outlineLevel="0" collapsed="false">
      <c r="D252" s="264"/>
      <c r="E252" s="265"/>
      <c r="F252" s="265"/>
      <c r="G252" s="265"/>
      <c r="H252" s="265"/>
      <c r="I252" s="265"/>
      <c r="J252" s="266"/>
      <c r="K252" s="266"/>
    </row>
    <row r="253" customFormat="false" ht="15.75" hidden="false" customHeight="false" outlineLevel="0" collapsed="false">
      <c r="D253" s="264"/>
      <c r="E253" s="265"/>
      <c r="F253" s="265"/>
      <c r="G253" s="265"/>
      <c r="H253" s="265"/>
      <c r="I253" s="265"/>
      <c r="J253" s="266"/>
      <c r="K253" s="266"/>
    </row>
    <row r="254" customFormat="false" ht="15.75" hidden="false" customHeight="false" outlineLevel="0" collapsed="false">
      <c r="D254" s="264"/>
      <c r="E254" s="265"/>
      <c r="F254" s="265"/>
      <c r="G254" s="265"/>
      <c r="H254" s="265"/>
      <c r="I254" s="265"/>
      <c r="J254" s="266"/>
      <c r="K254" s="266"/>
    </row>
    <row r="255" customFormat="false" ht="15.75" hidden="false" customHeight="false" outlineLevel="0" collapsed="false">
      <c r="D255" s="264"/>
      <c r="E255" s="265"/>
      <c r="F255" s="265"/>
      <c r="G255" s="265"/>
      <c r="H255" s="265"/>
      <c r="I255" s="265"/>
      <c r="J255" s="266"/>
      <c r="K255" s="266"/>
    </row>
    <row r="256" customFormat="false" ht="15.75" hidden="false" customHeight="false" outlineLevel="0" collapsed="false">
      <c r="D256" s="264"/>
      <c r="E256" s="265"/>
      <c r="F256" s="265"/>
      <c r="G256" s="265"/>
      <c r="H256" s="265"/>
      <c r="I256" s="265"/>
      <c r="J256" s="266"/>
      <c r="K256" s="266"/>
    </row>
    <row r="257" customFormat="false" ht="15.75" hidden="false" customHeight="false" outlineLevel="0" collapsed="false">
      <c r="D257" s="264"/>
      <c r="E257" s="265"/>
      <c r="F257" s="265"/>
      <c r="G257" s="265"/>
      <c r="H257" s="265"/>
      <c r="I257" s="265"/>
      <c r="J257" s="266"/>
      <c r="K257" s="266"/>
    </row>
    <row r="258" customFormat="false" ht="15.75" hidden="false" customHeight="false" outlineLevel="0" collapsed="false">
      <c r="D258" s="264"/>
      <c r="E258" s="265"/>
      <c r="F258" s="265"/>
      <c r="G258" s="265"/>
      <c r="H258" s="265"/>
      <c r="I258" s="265"/>
      <c r="J258" s="266"/>
      <c r="K258" s="266"/>
    </row>
    <row r="259" customFormat="false" ht="15.75" hidden="false" customHeight="false" outlineLevel="0" collapsed="false">
      <c r="D259" s="264"/>
      <c r="E259" s="265"/>
      <c r="F259" s="265"/>
      <c r="G259" s="265"/>
      <c r="H259" s="265"/>
      <c r="I259" s="265"/>
      <c r="J259" s="266"/>
      <c r="K259" s="266"/>
    </row>
    <row r="260" customFormat="false" ht="15.75" hidden="false" customHeight="false" outlineLevel="0" collapsed="false">
      <c r="D260" s="264"/>
      <c r="E260" s="265"/>
      <c r="F260" s="265"/>
      <c r="G260" s="265"/>
      <c r="H260" s="265"/>
      <c r="I260" s="265"/>
      <c r="J260" s="266"/>
      <c r="K260" s="266"/>
    </row>
    <row r="261" customFormat="false" ht="15.75" hidden="false" customHeight="false" outlineLevel="0" collapsed="false">
      <c r="D261" s="264"/>
      <c r="E261" s="265"/>
      <c r="F261" s="265"/>
      <c r="G261" s="265"/>
      <c r="H261" s="265"/>
      <c r="I261" s="265"/>
      <c r="J261" s="266"/>
      <c r="K261" s="266"/>
    </row>
    <row r="262" customFormat="false" ht="15.75" hidden="false" customHeight="false" outlineLevel="0" collapsed="false">
      <c r="D262" s="264"/>
      <c r="E262" s="265"/>
      <c r="F262" s="265"/>
      <c r="G262" s="265"/>
      <c r="H262" s="265"/>
      <c r="I262" s="265"/>
      <c r="J262" s="266"/>
      <c r="K262" s="266"/>
    </row>
    <row r="263" customFormat="false" ht="15.75" hidden="false" customHeight="false" outlineLevel="0" collapsed="false">
      <c r="D263" s="264"/>
      <c r="E263" s="265"/>
      <c r="F263" s="265"/>
      <c r="G263" s="265"/>
      <c r="H263" s="265"/>
      <c r="I263" s="265"/>
      <c r="J263" s="266"/>
      <c r="K263" s="266"/>
    </row>
    <row r="264" customFormat="false" ht="15.75" hidden="false" customHeight="false" outlineLevel="0" collapsed="false">
      <c r="D264" s="264"/>
      <c r="E264" s="265"/>
      <c r="F264" s="265"/>
      <c r="G264" s="265"/>
      <c r="H264" s="265"/>
      <c r="I264" s="265"/>
      <c r="J264" s="266"/>
      <c r="K264" s="266"/>
    </row>
    <row r="265" customFormat="false" ht="15.75" hidden="false" customHeight="false" outlineLevel="0" collapsed="false">
      <c r="D265" s="264"/>
      <c r="E265" s="265"/>
      <c r="F265" s="265"/>
      <c r="G265" s="265"/>
      <c r="H265" s="265"/>
      <c r="I265" s="265"/>
      <c r="J265" s="266"/>
      <c r="K265" s="266"/>
    </row>
    <row r="266" customFormat="false" ht="15.75" hidden="false" customHeight="false" outlineLevel="0" collapsed="false">
      <c r="D266" s="264"/>
      <c r="E266" s="265"/>
      <c r="F266" s="265"/>
      <c r="G266" s="265"/>
      <c r="H266" s="265"/>
      <c r="I266" s="265"/>
      <c r="J266" s="266"/>
      <c r="K266" s="266"/>
    </row>
    <row r="267" customFormat="false" ht="15.75" hidden="false" customHeight="false" outlineLevel="0" collapsed="false">
      <c r="D267" s="264"/>
      <c r="E267" s="265"/>
      <c r="F267" s="265"/>
      <c r="G267" s="265"/>
      <c r="H267" s="265"/>
      <c r="I267" s="265"/>
      <c r="J267" s="266"/>
      <c r="K267" s="266"/>
    </row>
    <row r="268" customFormat="false" ht="15.75" hidden="false" customHeight="false" outlineLevel="0" collapsed="false">
      <c r="D268" s="264"/>
      <c r="E268" s="265"/>
      <c r="F268" s="265"/>
      <c r="G268" s="265"/>
      <c r="H268" s="265"/>
      <c r="I268" s="265"/>
      <c r="J268" s="266"/>
      <c r="K268" s="266"/>
    </row>
    <row r="269" customFormat="false" ht="15.75" hidden="false" customHeight="false" outlineLevel="0" collapsed="false">
      <c r="D269" s="264"/>
      <c r="E269" s="265"/>
      <c r="F269" s="265"/>
      <c r="G269" s="265"/>
      <c r="H269" s="265"/>
      <c r="I269" s="265"/>
      <c r="J269" s="266"/>
      <c r="K269" s="266"/>
    </row>
    <row r="270" customFormat="false" ht="15.75" hidden="false" customHeight="false" outlineLevel="0" collapsed="false">
      <c r="D270" s="264"/>
      <c r="E270" s="265"/>
      <c r="F270" s="265"/>
      <c r="G270" s="265"/>
      <c r="H270" s="265"/>
      <c r="I270" s="265"/>
      <c r="J270" s="266"/>
      <c r="K270" s="266"/>
    </row>
    <row r="271" customFormat="false" ht="15.75" hidden="false" customHeight="false" outlineLevel="0" collapsed="false">
      <c r="D271" s="264"/>
      <c r="E271" s="265"/>
      <c r="F271" s="265"/>
      <c r="G271" s="265"/>
      <c r="H271" s="265"/>
      <c r="I271" s="265"/>
      <c r="J271" s="266"/>
      <c r="K271" s="266"/>
    </row>
    <row r="272" customFormat="false" ht="15.75" hidden="false" customHeight="false" outlineLevel="0" collapsed="false">
      <c r="D272" s="264"/>
      <c r="E272" s="265"/>
      <c r="F272" s="265"/>
      <c r="G272" s="265"/>
      <c r="H272" s="265"/>
      <c r="I272" s="265"/>
      <c r="J272" s="266"/>
      <c r="K272" s="266"/>
    </row>
    <row r="273" customFormat="false" ht="15.75" hidden="false" customHeight="false" outlineLevel="0" collapsed="false">
      <c r="D273" s="264"/>
      <c r="E273" s="265"/>
      <c r="F273" s="265"/>
      <c r="G273" s="265"/>
      <c r="H273" s="265"/>
      <c r="I273" s="265"/>
      <c r="J273" s="266"/>
      <c r="K273" s="266"/>
    </row>
    <row r="274" customFormat="false" ht="15.75" hidden="false" customHeight="false" outlineLevel="0" collapsed="false">
      <c r="D274" s="264"/>
      <c r="E274" s="265"/>
      <c r="F274" s="265"/>
      <c r="G274" s="265"/>
      <c r="H274" s="265"/>
      <c r="I274" s="265"/>
      <c r="J274" s="266"/>
      <c r="K274" s="266"/>
    </row>
    <row r="275" customFormat="false" ht="15.75" hidden="false" customHeight="false" outlineLevel="0" collapsed="false">
      <c r="D275" s="264"/>
      <c r="E275" s="265"/>
      <c r="F275" s="265"/>
      <c r="G275" s="265"/>
      <c r="H275" s="265"/>
      <c r="I275" s="265"/>
      <c r="J275" s="266"/>
      <c r="K275" s="266"/>
    </row>
    <row r="276" customFormat="false" ht="15.75" hidden="false" customHeight="false" outlineLevel="0" collapsed="false">
      <c r="D276" s="264"/>
      <c r="E276" s="265"/>
      <c r="F276" s="265"/>
      <c r="G276" s="265"/>
      <c r="H276" s="265"/>
      <c r="I276" s="265"/>
      <c r="J276" s="266"/>
      <c r="K276" s="266"/>
    </row>
    <row r="277" customFormat="false" ht="15.75" hidden="false" customHeight="false" outlineLevel="0" collapsed="false">
      <c r="D277" s="264"/>
      <c r="E277" s="265"/>
      <c r="F277" s="265"/>
      <c r="G277" s="265"/>
      <c r="H277" s="265"/>
      <c r="I277" s="265"/>
      <c r="J277" s="266"/>
      <c r="K277" s="266"/>
    </row>
    <row r="278" customFormat="false" ht="15.75" hidden="false" customHeight="false" outlineLevel="0" collapsed="false">
      <c r="D278" s="264"/>
      <c r="E278" s="265"/>
      <c r="F278" s="265"/>
      <c r="G278" s="265"/>
      <c r="H278" s="265"/>
      <c r="I278" s="265"/>
      <c r="J278" s="266"/>
      <c r="K278" s="266"/>
    </row>
    <row r="279" customFormat="false" ht="15.75" hidden="false" customHeight="false" outlineLevel="0" collapsed="false">
      <c r="D279" s="264"/>
      <c r="E279" s="265"/>
      <c r="F279" s="265"/>
      <c r="G279" s="265"/>
      <c r="H279" s="265"/>
      <c r="I279" s="265"/>
      <c r="J279" s="266"/>
      <c r="K279" s="266"/>
    </row>
    <row r="280" customFormat="false" ht="15.75" hidden="false" customHeight="false" outlineLevel="0" collapsed="false">
      <c r="D280" s="264"/>
      <c r="E280" s="265"/>
      <c r="F280" s="265"/>
      <c r="G280" s="265"/>
      <c r="H280" s="265"/>
      <c r="I280" s="265"/>
      <c r="J280" s="266"/>
      <c r="K280" s="266"/>
    </row>
    <row r="281" customFormat="false" ht="15.75" hidden="false" customHeight="false" outlineLevel="0" collapsed="false">
      <c r="D281" s="264"/>
      <c r="E281" s="265"/>
      <c r="F281" s="265"/>
      <c r="G281" s="265"/>
      <c r="H281" s="265"/>
      <c r="I281" s="265"/>
      <c r="J281" s="266"/>
      <c r="K281" s="266"/>
    </row>
    <row r="282" customFormat="false" ht="15.75" hidden="false" customHeight="false" outlineLevel="0" collapsed="false">
      <c r="D282" s="264"/>
      <c r="E282" s="265"/>
      <c r="F282" s="265"/>
      <c r="G282" s="265"/>
      <c r="H282" s="265"/>
      <c r="I282" s="265"/>
      <c r="J282" s="266"/>
      <c r="K282" s="266"/>
    </row>
    <row r="283" customFormat="false" ht="15.75" hidden="false" customHeight="false" outlineLevel="0" collapsed="false">
      <c r="D283" s="264"/>
      <c r="E283" s="265"/>
      <c r="F283" s="265"/>
      <c r="G283" s="265"/>
      <c r="H283" s="265"/>
      <c r="I283" s="265"/>
      <c r="J283" s="266"/>
      <c r="K283" s="266"/>
    </row>
    <row r="284" customFormat="false" ht="15.75" hidden="false" customHeight="false" outlineLevel="0" collapsed="false">
      <c r="D284" s="264"/>
      <c r="E284" s="265"/>
      <c r="F284" s="265"/>
      <c r="G284" s="265"/>
      <c r="H284" s="265"/>
      <c r="I284" s="265"/>
      <c r="J284" s="266"/>
      <c r="K284" s="266"/>
    </row>
    <row r="285" customFormat="false" ht="15.75" hidden="false" customHeight="false" outlineLevel="0" collapsed="false">
      <c r="D285" s="264"/>
      <c r="E285" s="265"/>
      <c r="F285" s="265"/>
      <c r="G285" s="265"/>
      <c r="H285" s="265"/>
      <c r="I285" s="265"/>
      <c r="J285" s="266"/>
      <c r="K285" s="266"/>
    </row>
    <row r="286" customFormat="false" ht="15.75" hidden="false" customHeight="false" outlineLevel="0" collapsed="false">
      <c r="D286" s="264"/>
      <c r="E286" s="265"/>
      <c r="F286" s="265"/>
      <c r="G286" s="265"/>
      <c r="H286" s="265"/>
      <c r="I286" s="265"/>
      <c r="J286" s="266"/>
      <c r="K286" s="266"/>
    </row>
    <row r="287" customFormat="false" ht="15.75" hidden="false" customHeight="false" outlineLevel="0" collapsed="false">
      <c r="D287" s="264"/>
      <c r="E287" s="265"/>
      <c r="F287" s="265"/>
      <c r="G287" s="265"/>
      <c r="H287" s="265"/>
      <c r="I287" s="265"/>
      <c r="J287" s="266"/>
      <c r="K287" s="266"/>
    </row>
    <row r="288" customFormat="false" ht="15.75" hidden="false" customHeight="false" outlineLevel="0" collapsed="false">
      <c r="D288" s="264"/>
      <c r="E288" s="265"/>
      <c r="F288" s="265"/>
      <c r="G288" s="265"/>
      <c r="H288" s="265"/>
      <c r="I288" s="265"/>
      <c r="J288" s="266"/>
      <c r="K288" s="266"/>
    </row>
    <row r="289" customFormat="false" ht="15.75" hidden="false" customHeight="false" outlineLevel="0" collapsed="false">
      <c r="D289" s="264"/>
      <c r="E289" s="265"/>
      <c r="F289" s="265"/>
      <c r="G289" s="265"/>
      <c r="H289" s="265"/>
      <c r="I289" s="265"/>
      <c r="J289" s="266"/>
      <c r="K289" s="266"/>
    </row>
    <row r="290" customFormat="false" ht="15.75" hidden="false" customHeight="false" outlineLevel="0" collapsed="false">
      <c r="D290" s="264"/>
      <c r="E290" s="265"/>
      <c r="F290" s="265"/>
      <c r="G290" s="265"/>
      <c r="H290" s="265"/>
      <c r="I290" s="265"/>
      <c r="J290" s="266"/>
      <c r="K290" s="266"/>
    </row>
    <row r="291" customFormat="false" ht="15.75" hidden="false" customHeight="false" outlineLevel="0" collapsed="false">
      <c r="D291" s="264"/>
      <c r="E291" s="265"/>
      <c r="F291" s="265"/>
      <c r="G291" s="265"/>
      <c r="H291" s="265"/>
      <c r="I291" s="265"/>
      <c r="J291" s="266"/>
      <c r="K291" s="266"/>
    </row>
    <row r="292" customFormat="false" ht="15.75" hidden="false" customHeight="false" outlineLevel="0" collapsed="false">
      <c r="D292" s="264"/>
      <c r="E292" s="265"/>
      <c r="F292" s="265"/>
      <c r="G292" s="265"/>
      <c r="H292" s="265"/>
      <c r="I292" s="265"/>
      <c r="J292" s="266"/>
      <c r="K292" s="266"/>
    </row>
    <row r="293" customFormat="false" ht="15.75" hidden="false" customHeight="false" outlineLevel="0" collapsed="false">
      <c r="D293" s="264"/>
      <c r="E293" s="265"/>
      <c r="F293" s="265"/>
      <c r="G293" s="265"/>
      <c r="H293" s="265"/>
      <c r="I293" s="265"/>
      <c r="J293" s="266"/>
      <c r="K293" s="266"/>
    </row>
    <row r="294" customFormat="false" ht="15.75" hidden="false" customHeight="false" outlineLevel="0" collapsed="false">
      <c r="D294" s="264"/>
      <c r="E294" s="265"/>
      <c r="F294" s="265"/>
      <c r="G294" s="265"/>
      <c r="H294" s="265"/>
      <c r="I294" s="265"/>
      <c r="J294" s="266"/>
      <c r="K294" s="266"/>
    </row>
    <row r="295" customFormat="false" ht="15.75" hidden="false" customHeight="false" outlineLevel="0" collapsed="false">
      <c r="D295" s="264"/>
      <c r="E295" s="265"/>
      <c r="F295" s="265"/>
      <c r="G295" s="265"/>
      <c r="H295" s="265"/>
      <c r="I295" s="265"/>
      <c r="J295" s="266"/>
      <c r="K295" s="266"/>
    </row>
    <row r="296" customFormat="false" ht="15.75" hidden="false" customHeight="false" outlineLevel="0" collapsed="false">
      <c r="D296" s="264"/>
      <c r="E296" s="265"/>
      <c r="F296" s="265"/>
      <c r="G296" s="265"/>
      <c r="H296" s="265"/>
      <c r="I296" s="265"/>
      <c r="J296" s="266"/>
      <c r="K296" s="266"/>
    </row>
    <row r="297" customFormat="false" ht="15.75" hidden="false" customHeight="false" outlineLevel="0" collapsed="false">
      <c r="D297" s="264"/>
      <c r="E297" s="265"/>
      <c r="F297" s="265"/>
      <c r="G297" s="265"/>
      <c r="H297" s="265"/>
      <c r="I297" s="265"/>
      <c r="J297" s="266"/>
      <c r="K297" s="266"/>
    </row>
    <row r="298" customFormat="false" ht="15.75" hidden="false" customHeight="false" outlineLevel="0" collapsed="false">
      <c r="D298" s="264"/>
      <c r="E298" s="265"/>
      <c r="F298" s="265"/>
      <c r="G298" s="265"/>
      <c r="H298" s="265"/>
      <c r="I298" s="265"/>
      <c r="J298" s="266"/>
      <c r="K298" s="266"/>
    </row>
    <row r="299" customFormat="false" ht="15.75" hidden="false" customHeight="false" outlineLevel="0" collapsed="false">
      <c r="D299" s="264"/>
      <c r="E299" s="265"/>
      <c r="F299" s="265"/>
      <c r="G299" s="265"/>
      <c r="H299" s="265"/>
      <c r="I299" s="265"/>
      <c r="J299" s="266"/>
      <c r="K299" s="266"/>
    </row>
    <row r="300" customFormat="false" ht="15.75" hidden="false" customHeight="false" outlineLevel="0" collapsed="false">
      <c r="D300" s="264"/>
      <c r="E300" s="265"/>
      <c r="F300" s="265"/>
      <c r="G300" s="265"/>
      <c r="H300" s="265"/>
      <c r="I300" s="265"/>
      <c r="J300" s="266"/>
      <c r="K300" s="266"/>
    </row>
    <row r="301" customFormat="false" ht="15.75" hidden="false" customHeight="false" outlineLevel="0" collapsed="false">
      <c r="D301" s="264"/>
      <c r="E301" s="265"/>
      <c r="F301" s="265"/>
      <c r="G301" s="265"/>
      <c r="H301" s="265"/>
      <c r="I301" s="265"/>
      <c r="J301" s="266"/>
      <c r="K301" s="266"/>
    </row>
    <row r="302" customFormat="false" ht="15.75" hidden="false" customHeight="false" outlineLevel="0" collapsed="false">
      <c r="D302" s="264"/>
      <c r="E302" s="265"/>
      <c r="F302" s="265"/>
      <c r="G302" s="265"/>
      <c r="H302" s="265"/>
      <c r="I302" s="265"/>
      <c r="J302" s="266"/>
      <c r="K302" s="266"/>
    </row>
    <row r="303" customFormat="false" ht="15.75" hidden="false" customHeight="false" outlineLevel="0" collapsed="false">
      <c r="D303" s="264"/>
      <c r="E303" s="265"/>
      <c r="F303" s="265"/>
      <c r="G303" s="265"/>
      <c r="H303" s="265"/>
      <c r="I303" s="265"/>
      <c r="J303" s="266"/>
      <c r="K303" s="266"/>
    </row>
    <row r="304" customFormat="false" ht="15.75" hidden="false" customHeight="false" outlineLevel="0" collapsed="false">
      <c r="D304" s="264"/>
      <c r="E304" s="265"/>
      <c r="F304" s="265"/>
      <c r="G304" s="265"/>
      <c r="H304" s="265"/>
      <c r="I304" s="265"/>
      <c r="J304" s="266"/>
      <c r="K304" s="266"/>
    </row>
    <row r="305" customFormat="false" ht="15.75" hidden="false" customHeight="false" outlineLevel="0" collapsed="false">
      <c r="D305" s="264"/>
      <c r="E305" s="265"/>
      <c r="F305" s="265"/>
      <c r="G305" s="265"/>
      <c r="H305" s="265"/>
      <c r="I305" s="265"/>
      <c r="J305" s="266"/>
      <c r="K305" s="266"/>
    </row>
    <row r="306" customFormat="false" ht="15.75" hidden="false" customHeight="false" outlineLevel="0" collapsed="false">
      <c r="D306" s="264"/>
      <c r="E306" s="265"/>
      <c r="F306" s="265"/>
      <c r="G306" s="265"/>
      <c r="H306" s="265"/>
      <c r="I306" s="265"/>
      <c r="J306" s="266"/>
      <c r="K306" s="266"/>
    </row>
    <row r="307" customFormat="false" ht="15.75" hidden="false" customHeight="false" outlineLevel="0" collapsed="false">
      <c r="D307" s="264"/>
      <c r="E307" s="265"/>
      <c r="F307" s="265"/>
      <c r="G307" s="265"/>
      <c r="H307" s="265"/>
      <c r="I307" s="265"/>
      <c r="J307" s="266"/>
      <c r="K307" s="266"/>
    </row>
    <row r="308" customFormat="false" ht="15.75" hidden="false" customHeight="false" outlineLevel="0" collapsed="false">
      <c r="D308" s="264"/>
      <c r="E308" s="265"/>
      <c r="F308" s="265"/>
      <c r="G308" s="265"/>
      <c r="H308" s="265"/>
      <c r="I308" s="265"/>
      <c r="J308" s="266"/>
      <c r="K308" s="266"/>
    </row>
    <row r="309" customFormat="false" ht="15.75" hidden="false" customHeight="false" outlineLevel="0" collapsed="false">
      <c r="D309" s="264"/>
      <c r="E309" s="265"/>
      <c r="F309" s="265"/>
      <c r="G309" s="265"/>
      <c r="H309" s="265"/>
      <c r="I309" s="265"/>
      <c r="J309" s="266"/>
      <c r="K309" s="266"/>
    </row>
    <row r="310" customFormat="false" ht="15.75" hidden="false" customHeight="false" outlineLevel="0" collapsed="false">
      <c r="D310" s="264"/>
      <c r="E310" s="265"/>
      <c r="F310" s="265"/>
      <c r="G310" s="265"/>
      <c r="H310" s="265"/>
      <c r="I310" s="265"/>
      <c r="J310" s="266"/>
      <c r="K310" s="266"/>
    </row>
    <row r="311" customFormat="false" ht="15.75" hidden="false" customHeight="false" outlineLevel="0" collapsed="false">
      <c r="D311" s="264"/>
      <c r="E311" s="265"/>
      <c r="F311" s="265"/>
      <c r="G311" s="265"/>
      <c r="H311" s="265"/>
      <c r="I311" s="265"/>
      <c r="J311" s="266"/>
      <c r="K311" s="266"/>
    </row>
    <row r="312" customFormat="false" ht="15.75" hidden="false" customHeight="false" outlineLevel="0" collapsed="false">
      <c r="D312" s="264"/>
      <c r="E312" s="265"/>
      <c r="F312" s="265"/>
      <c r="G312" s="265"/>
      <c r="H312" s="265"/>
      <c r="I312" s="265"/>
      <c r="J312" s="266"/>
      <c r="K312" s="266"/>
    </row>
    <row r="313" customFormat="false" ht="15.75" hidden="false" customHeight="false" outlineLevel="0" collapsed="false">
      <c r="D313" s="264"/>
      <c r="E313" s="265"/>
      <c r="F313" s="265"/>
      <c r="G313" s="265"/>
      <c r="H313" s="265"/>
      <c r="I313" s="265"/>
      <c r="J313" s="266"/>
      <c r="K313" s="266"/>
    </row>
    <row r="314" customFormat="false" ht="15.75" hidden="false" customHeight="false" outlineLevel="0" collapsed="false">
      <c r="D314" s="264"/>
      <c r="E314" s="265"/>
      <c r="F314" s="265"/>
      <c r="G314" s="265"/>
      <c r="H314" s="265"/>
      <c r="I314" s="265"/>
      <c r="J314" s="266"/>
      <c r="K314" s="266"/>
    </row>
    <row r="315" customFormat="false" ht="15.75" hidden="false" customHeight="false" outlineLevel="0" collapsed="false">
      <c r="D315" s="264"/>
      <c r="E315" s="265"/>
      <c r="F315" s="265"/>
      <c r="G315" s="265"/>
      <c r="H315" s="265"/>
      <c r="I315" s="265"/>
      <c r="J315" s="266"/>
      <c r="K315" s="266"/>
    </row>
    <row r="316" customFormat="false" ht="15.75" hidden="false" customHeight="false" outlineLevel="0" collapsed="false">
      <c r="D316" s="264"/>
      <c r="E316" s="265"/>
      <c r="F316" s="265"/>
      <c r="G316" s="265"/>
      <c r="H316" s="265"/>
      <c r="I316" s="265"/>
      <c r="J316" s="266"/>
      <c r="K316" s="266"/>
    </row>
    <row r="317" customFormat="false" ht="15.75" hidden="false" customHeight="false" outlineLevel="0" collapsed="false">
      <c r="D317" s="264"/>
      <c r="E317" s="265"/>
      <c r="F317" s="265"/>
      <c r="G317" s="265"/>
      <c r="H317" s="265"/>
      <c r="I317" s="265"/>
      <c r="J317" s="266"/>
      <c r="K317" s="266"/>
    </row>
    <row r="318" customFormat="false" ht="15.75" hidden="false" customHeight="false" outlineLevel="0" collapsed="false">
      <c r="D318" s="264"/>
      <c r="E318" s="265"/>
      <c r="F318" s="265"/>
      <c r="G318" s="265"/>
      <c r="H318" s="265"/>
      <c r="I318" s="265"/>
      <c r="J318" s="266"/>
      <c r="K318" s="266"/>
    </row>
    <row r="319" customFormat="false" ht="15.75" hidden="false" customHeight="false" outlineLevel="0" collapsed="false">
      <c r="D319" s="264"/>
      <c r="E319" s="265"/>
      <c r="F319" s="265"/>
      <c r="G319" s="265"/>
      <c r="H319" s="265"/>
      <c r="I319" s="265"/>
      <c r="J319" s="266"/>
      <c r="K319" s="266"/>
    </row>
    <row r="320" customFormat="false" ht="15.75" hidden="false" customHeight="false" outlineLevel="0" collapsed="false">
      <c r="D320" s="264"/>
      <c r="E320" s="265"/>
      <c r="F320" s="265"/>
      <c r="G320" s="265"/>
      <c r="H320" s="265"/>
      <c r="I320" s="265"/>
      <c r="J320" s="266"/>
      <c r="K320" s="266"/>
    </row>
    <row r="321" customFormat="false" ht="15.75" hidden="false" customHeight="false" outlineLevel="0" collapsed="false">
      <c r="D321" s="264"/>
      <c r="E321" s="265"/>
      <c r="F321" s="265"/>
      <c r="G321" s="265"/>
      <c r="H321" s="265"/>
      <c r="I321" s="265"/>
      <c r="J321" s="266"/>
      <c r="K321" s="266"/>
    </row>
    <row r="322" customFormat="false" ht="15.75" hidden="false" customHeight="false" outlineLevel="0" collapsed="false">
      <c r="D322" s="264"/>
      <c r="E322" s="265"/>
      <c r="F322" s="265"/>
      <c r="G322" s="265"/>
      <c r="H322" s="265"/>
      <c r="I322" s="265"/>
      <c r="J322" s="266"/>
      <c r="K322" s="266"/>
    </row>
    <row r="323" customFormat="false" ht="15.75" hidden="false" customHeight="false" outlineLevel="0" collapsed="false">
      <c r="D323" s="264"/>
      <c r="E323" s="265"/>
      <c r="F323" s="265"/>
      <c r="G323" s="265"/>
      <c r="H323" s="265"/>
      <c r="I323" s="265"/>
      <c r="J323" s="266"/>
      <c r="K323" s="266"/>
    </row>
    <row r="324" customFormat="false" ht="15.75" hidden="false" customHeight="false" outlineLevel="0" collapsed="false">
      <c r="D324" s="264"/>
      <c r="E324" s="265"/>
      <c r="F324" s="265"/>
      <c r="G324" s="265"/>
      <c r="H324" s="265"/>
      <c r="I324" s="265"/>
      <c r="J324" s="266"/>
      <c r="K324" s="266"/>
    </row>
    <row r="325" customFormat="false" ht="15.75" hidden="false" customHeight="false" outlineLevel="0" collapsed="false">
      <c r="D325" s="264"/>
      <c r="E325" s="265"/>
      <c r="F325" s="265"/>
      <c r="G325" s="265"/>
      <c r="H325" s="265"/>
      <c r="I325" s="265"/>
      <c r="J325" s="266"/>
      <c r="K325" s="266"/>
    </row>
    <row r="326" customFormat="false" ht="15.75" hidden="false" customHeight="false" outlineLevel="0" collapsed="false">
      <c r="D326" s="264"/>
      <c r="E326" s="265"/>
      <c r="F326" s="265"/>
      <c r="G326" s="265"/>
      <c r="H326" s="265"/>
      <c r="I326" s="265"/>
      <c r="J326" s="266"/>
      <c r="K326" s="266"/>
    </row>
    <row r="327" customFormat="false" ht="15.75" hidden="false" customHeight="false" outlineLevel="0" collapsed="false">
      <c r="D327" s="264"/>
      <c r="E327" s="265"/>
      <c r="F327" s="265"/>
      <c r="G327" s="265"/>
      <c r="H327" s="265"/>
      <c r="I327" s="265"/>
      <c r="J327" s="266"/>
      <c r="K327" s="266"/>
    </row>
    <row r="328" customFormat="false" ht="15.75" hidden="false" customHeight="false" outlineLevel="0" collapsed="false">
      <c r="D328" s="264"/>
      <c r="E328" s="265"/>
      <c r="F328" s="265"/>
      <c r="G328" s="265"/>
      <c r="H328" s="265"/>
      <c r="I328" s="265"/>
      <c r="J328" s="266"/>
      <c r="K328" s="266"/>
    </row>
    <row r="329" customFormat="false" ht="15.75" hidden="false" customHeight="false" outlineLevel="0" collapsed="false">
      <c r="D329" s="264"/>
      <c r="E329" s="265"/>
      <c r="F329" s="265"/>
      <c r="G329" s="265"/>
      <c r="H329" s="265"/>
      <c r="I329" s="265"/>
      <c r="J329" s="266"/>
      <c r="K329" s="266"/>
    </row>
    <row r="330" customFormat="false" ht="15.75" hidden="false" customHeight="false" outlineLevel="0" collapsed="false">
      <c r="D330" s="264"/>
      <c r="E330" s="265"/>
      <c r="F330" s="265"/>
      <c r="G330" s="265"/>
      <c r="H330" s="265"/>
      <c r="I330" s="265"/>
      <c r="J330" s="266"/>
      <c r="K330" s="266"/>
    </row>
    <row r="331" customFormat="false" ht="15.75" hidden="false" customHeight="false" outlineLevel="0" collapsed="false">
      <c r="D331" s="264"/>
      <c r="E331" s="265"/>
      <c r="F331" s="265"/>
      <c r="G331" s="265"/>
      <c r="H331" s="265"/>
      <c r="I331" s="265"/>
      <c r="J331" s="266"/>
      <c r="K331" s="266"/>
    </row>
    <row r="332" customFormat="false" ht="15.75" hidden="false" customHeight="false" outlineLevel="0" collapsed="false">
      <c r="D332" s="264"/>
      <c r="E332" s="265"/>
      <c r="F332" s="265"/>
      <c r="G332" s="265"/>
      <c r="H332" s="265"/>
      <c r="I332" s="265"/>
      <c r="J332" s="266"/>
      <c r="K332" s="266"/>
    </row>
    <row r="333" customFormat="false" ht="15.75" hidden="false" customHeight="false" outlineLevel="0" collapsed="false">
      <c r="D333" s="264"/>
      <c r="E333" s="265"/>
      <c r="F333" s="265"/>
      <c r="G333" s="265"/>
      <c r="H333" s="265"/>
      <c r="I333" s="265"/>
      <c r="J333" s="266"/>
      <c r="K333" s="266"/>
    </row>
    <row r="334" customFormat="false" ht="15.75" hidden="false" customHeight="false" outlineLevel="0" collapsed="false">
      <c r="D334" s="264"/>
      <c r="E334" s="265"/>
      <c r="F334" s="265"/>
      <c r="G334" s="265"/>
      <c r="H334" s="265"/>
      <c r="I334" s="265"/>
      <c r="J334" s="266"/>
      <c r="K334" s="266"/>
    </row>
    <row r="335" customFormat="false" ht="15.75" hidden="false" customHeight="false" outlineLevel="0" collapsed="false">
      <c r="D335" s="264"/>
      <c r="E335" s="265"/>
      <c r="F335" s="265"/>
      <c r="G335" s="265"/>
      <c r="H335" s="265"/>
      <c r="I335" s="265"/>
      <c r="J335" s="266"/>
      <c r="K335" s="266"/>
    </row>
    <row r="336" customFormat="false" ht="15.75" hidden="false" customHeight="false" outlineLevel="0" collapsed="false">
      <c r="D336" s="264"/>
      <c r="E336" s="265"/>
      <c r="F336" s="265"/>
      <c r="G336" s="265"/>
      <c r="H336" s="265"/>
      <c r="I336" s="265"/>
      <c r="J336" s="266"/>
      <c r="K336" s="266"/>
    </row>
    <row r="337" customFormat="false" ht="15.75" hidden="false" customHeight="false" outlineLevel="0" collapsed="false">
      <c r="D337" s="264"/>
      <c r="E337" s="265"/>
      <c r="F337" s="265"/>
      <c r="G337" s="265"/>
      <c r="H337" s="265"/>
      <c r="I337" s="265"/>
      <c r="J337" s="266"/>
      <c r="K337" s="266"/>
    </row>
    <row r="338" customFormat="false" ht="15.75" hidden="false" customHeight="false" outlineLevel="0" collapsed="false">
      <c r="D338" s="264"/>
      <c r="E338" s="265"/>
      <c r="F338" s="265"/>
      <c r="G338" s="265"/>
      <c r="H338" s="265"/>
      <c r="I338" s="265"/>
      <c r="J338" s="266"/>
      <c r="K338" s="266"/>
    </row>
    <row r="339" customFormat="false" ht="15.75" hidden="false" customHeight="false" outlineLevel="0" collapsed="false">
      <c r="D339" s="264"/>
      <c r="E339" s="265"/>
      <c r="F339" s="265"/>
      <c r="G339" s="265"/>
      <c r="H339" s="265"/>
      <c r="I339" s="265"/>
      <c r="J339" s="266"/>
      <c r="K339" s="266"/>
    </row>
    <row r="340" customFormat="false" ht="15.75" hidden="false" customHeight="false" outlineLevel="0" collapsed="false">
      <c r="D340" s="264"/>
      <c r="E340" s="265"/>
      <c r="F340" s="265"/>
      <c r="G340" s="265"/>
      <c r="H340" s="265"/>
      <c r="I340" s="265"/>
      <c r="J340" s="266"/>
      <c r="K340" s="266"/>
    </row>
    <row r="341" customFormat="false" ht="15.75" hidden="false" customHeight="false" outlineLevel="0" collapsed="false">
      <c r="D341" s="264"/>
      <c r="E341" s="265"/>
      <c r="F341" s="265"/>
      <c r="G341" s="265"/>
      <c r="H341" s="265"/>
      <c r="I341" s="265"/>
      <c r="J341" s="266"/>
      <c r="K341" s="266"/>
    </row>
    <row r="342" customFormat="false" ht="15.75" hidden="false" customHeight="false" outlineLevel="0" collapsed="false">
      <c r="D342" s="264"/>
      <c r="E342" s="265"/>
      <c r="F342" s="265"/>
      <c r="G342" s="265"/>
      <c r="H342" s="265"/>
      <c r="I342" s="265"/>
      <c r="J342" s="266"/>
      <c r="K342" s="266"/>
    </row>
    <row r="343" customFormat="false" ht="15.75" hidden="false" customHeight="false" outlineLevel="0" collapsed="false">
      <c r="D343" s="264"/>
      <c r="E343" s="265"/>
      <c r="F343" s="265"/>
      <c r="G343" s="265"/>
      <c r="H343" s="265"/>
      <c r="I343" s="265"/>
      <c r="J343" s="266"/>
      <c r="K343" s="266"/>
    </row>
    <row r="344" customFormat="false" ht="15.75" hidden="false" customHeight="false" outlineLevel="0" collapsed="false">
      <c r="D344" s="264"/>
      <c r="E344" s="265"/>
      <c r="F344" s="265"/>
      <c r="G344" s="265"/>
      <c r="H344" s="265"/>
      <c r="I344" s="265"/>
      <c r="J344" s="266"/>
      <c r="K344" s="266"/>
    </row>
    <row r="345" customFormat="false" ht="15.75" hidden="false" customHeight="false" outlineLevel="0" collapsed="false">
      <c r="D345" s="264"/>
      <c r="E345" s="265"/>
      <c r="F345" s="265"/>
      <c r="G345" s="265"/>
      <c r="H345" s="265"/>
      <c r="I345" s="265"/>
      <c r="J345" s="266"/>
      <c r="K345" s="266"/>
    </row>
    <row r="346" customFormat="false" ht="15.75" hidden="false" customHeight="false" outlineLevel="0" collapsed="false">
      <c r="D346" s="264"/>
      <c r="E346" s="265"/>
      <c r="F346" s="265"/>
      <c r="G346" s="265"/>
      <c r="H346" s="265"/>
      <c r="I346" s="265"/>
      <c r="J346" s="266"/>
      <c r="K346" s="266"/>
    </row>
    <row r="347" customFormat="false" ht="15.75" hidden="false" customHeight="false" outlineLevel="0" collapsed="false">
      <c r="D347" s="264"/>
      <c r="E347" s="265"/>
      <c r="F347" s="265"/>
      <c r="G347" s="265"/>
      <c r="H347" s="265"/>
      <c r="I347" s="265"/>
      <c r="J347" s="266"/>
      <c r="K347" s="266"/>
    </row>
    <row r="348" customFormat="false" ht="15.75" hidden="false" customHeight="false" outlineLevel="0" collapsed="false">
      <c r="D348" s="264"/>
      <c r="E348" s="265"/>
      <c r="F348" s="265"/>
      <c r="G348" s="265"/>
      <c r="H348" s="265"/>
      <c r="I348" s="265"/>
      <c r="J348" s="266"/>
      <c r="K348" s="266"/>
    </row>
    <row r="349" customFormat="false" ht="15.75" hidden="false" customHeight="false" outlineLevel="0" collapsed="false">
      <c r="D349" s="264"/>
      <c r="E349" s="265"/>
      <c r="F349" s="265"/>
      <c r="G349" s="265"/>
      <c r="H349" s="265"/>
      <c r="I349" s="265"/>
      <c r="J349" s="266"/>
      <c r="K349" s="266"/>
    </row>
    <row r="350" customFormat="false" ht="15.75" hidden="false" customHeight="false" outlineLevel="0" collapsed="false">
      <c r="D350" s="264"/>
      <c r="E350" s="265"/>
      <c r="F350" s="265"/>
      <c r="G350" s="265"/>
      <c r="H350" s="265"/>
      <c r="I350" s="265"/>
      <c r="J350" s="266"/>
      <c r="K350" s="266"/>
    </row>
    <row r="351" customFormat="false" ht="15.75" hidden="false" customHeight="false" outlineLevel="0" collapsed="false">
      <c r="D351" s="264"/>
      <c r="E351" s="265"/>
      <c r="F351" s="265"/>
      <c r="G351" s="265"/>
      <c r="H351" s="265"/>
      <c r="I351" s="265"/>
      <c r="J351" s="266"/>
      <c r="K351" s="266"/>
    </row>
    <row r="352" customFormat="false" ht="15.75" hidden="false" customHeight="false" outlineLevel="0" collapsed="false">
      <c r="D352" s="264"/>
      <c r="E352" s="265"/>
      <c r="F352" s="265"/>
      <c r="G352" s="265"/>
      <c r="H352" s="265"/>
      <c r="I352" s="265"/>
      <c r="J352" s="266"/>
      <c r="K352" s="266"/>
    </row>
    <row r="353" customFormat="false" ht="15.75" hidden="false" customHeight="false" outlineLevel="0" collapsed="false">
      <c r="D353" s="264"/>
      <c r="E353" s="265"/>
      <c r="F353" s="265"/>
      <c r="G353" s="265"/>
      <c r="H353" s="265"/>
      <c r="I353" s="265"/>
      <c r="J353" s="266"/>
      <c r="K353" s="266"/>
    </row>
    <row r="354" customFormat="false" ht="15.75" hidden="false" customHeight="false" outlineLevel="0" collapsed="false">
      <c r="D354" s="264"/>
      <c r="E354" s="265"/>
      <c r="F354" s="265"/>
      <c r="G354" s="265"/>
      <c r="H354" s="265"/>
      <c r="I354" s="265"/>
      <c r="J354" s="266"/>
      <c r="K354" s="266"/>
    </row>
    <row r="355" customFormat="false" ht="15.75" hidden="false" customHeight="false" outlineLevel="0" collapsed="false">
      <c r="D355" s="264"/>
      <c r="E355" s="265"/>
      <c r="F355" s="265"/>
      <c r="G355" s="265"/>
      <c r="H355" s="265"/>
      <c r="I355" s="265"/>
      <c r="J355" s="266"/>
      <c r="K355" s="266"/>
    </row>
    <row r="356" customFormat="false" ht="15.75" hidden="false" customHeight="false" outlineLevel="0" collapsed="false">
      <c r="D356" s="264"/>
      <c r="E356" s="265"/>
      <c r="F356" s="265"/>
      <c r="G356" s="265"/>
      <c r="H356" s="265"/>
      <c r="I356" s="265"/>
      <c r="J356" s="266"/>
      <c r="K356" s="266"/>
    </row>
    <row r="357" customFormat="false" ht="15.75" hidden="false" customHeight="false" outlineLevel="0" collapsed="false">
      <c r="D357" s="264"/>
      <c r="E357" s="265"/>
      <c r="F357" s="265"/>
      <c r="G357" s="265"/>
      <c r="H357" s="265"/>
      <c r="I357" s="265"/>
      <c r="J357" s="266"/>
      <c r="K357" s="266"/>
    </row>
    <row r="358" customFormat="false" ht="15.75" hidden="false" customHeight="false" outlineLevel="0" collapsed="false">
      <c r="D358" s="264"/>
      <c r="E358" s="265"/>
      <c r="F358" s="265"/>
      <c r="G358" s="265"/>
      <c r="H358" s="265"/>
      <c r="I358" s="265"/>
      <c r="J358" s="266"/>
      <c r="K358" s="266"/>
    </row>
    <row r="359" customFormat="false" ht="15.75" hidden="false" customHeight="false" outlineLevel="0" collapsed="false">
      <c r="D359" s="264"/>
      <c r="E359" s="265"/>
      <c r="F359" s="265"/>
      <c r="G359" s="265"/>
      <c r="H359" s="265"/>
      <c r="I359" s="265"/>
      <c r="J359" s="266"/>
      <c r="K359" s="266"/>
    </row>
    <row r="360" customFormat="false" ht="15.75" hidden="false" customHeight="false" outlineLevel="0" collapsed="false">
      <c r="D360" s="264"/>
      <c r="E360" s="265"/>
      <c r="F360" s="265"/>
      <c r="G360" s="265"/>
      <c r="H360" s="265"/>
      <c r="I360" s="265"/>
      <c r="J360" s="266"/>
      <c r="K360" s="266"/>
    </row>
    <row r="361" customFormat="false" ht="15.75" hidden="false" customHeight="false" outlineLevel="0" collapsed="false">
      <c r="D361" s="264"/>
      <c r="E361" s="265"/>
      <c r="F361" s="265"/>
      <c r="G361" s="265"/>
      <c r="H361" s="265"/>
      <c r="I361" s="265"/>
      <c r="J361" s="266"/>
      <c r="K361" s="266"/>
    </row>
    <row r="362" customFormat="false" ht="15.75" hidden="false" customHeight="false" outlineLevel="0" collapsed="false">
      <c r="D362" s="264"/>
      <c r="E362" s="265"/>
      <c r="F362" s="265"/>
      <c r="G362" s="265"/>
      <c r="H362" s="265"/>
      <c r="I362" s="265"/>
      <c r="J362" s="266"/>
      <c r="K362" s="266"/>
    </row>
    <row r="363" customFormat="false" ht="15.75" hidden="false" customHeight="false" outlineLevel="0" collapsed="false">
      <c r="D363" s="264"/>
      <c r="E363" s="265"/>
      <c r="F363" s="265"/>
      <c r="G363" s="265"/>
      <c r="H363" s="265"/>
      <c r="I363" s="265"/>
      <c r="J363" s="266"/>
      <c r="K363" s="266"/>
    </row>
    <row r="364" customFormat="false" ht="15.75" hidden="false" customHeight="false" outlineLevel="0" collapsed="false">
      <c r="D364" s="264"/>
      <c r="E364" s="265"/>
      <c r="F364" s="265"/>
      <c r="G364" s="265"/>
      <c r="H364" s="265"/>
      <c r="I364" s="265"/>
      <c r="J364" s="266"/>
      <c r="K364" s="266"/>
    </row>
    <row r="365" customFormat="false" ht="15.75" hidden="false" customHeight="false" outlineLevel="0" collapsed="false">
      <c r="D365" s="264"/>
      <c r="E365" s="265"/>
      <c r="F365" s="265"/>
      <c r="G365" s="265"/>
      <c r="H365" s="265"/>
      <c r="I365" s="265"/>
      <c r="J365" s="266"/>
      <c r="K365" s="266"/>
    </row>
    <row r="366" customFormat="false" ht="15.75" hidden="false" customHeight="false" outlineLevel="0" collapsed="false">
      <c r="D366" s="264"/>
      <c r="E366" s="265"/>
      <c r="F366" s="265"/>
      <c r="G366" s="265"/>
      <c r="H366" s="265"/>
      <c r="I366" s="265"/>
      <c r="J366" s="266"/>
      <c r="K366" s="266"/>
    </row>
    <row r="367" customFormat="false" ht="15.75" hidden="false" customHeight="false" outlineLevel="0" collapsed="false">
      <c r="D367" s="264"/>
      <c r="E367" s="265"/>
      <c r="F367" s="265"/>
      <c r="G367" s="265"/>
      <c r="H367" s="265"/>
      <c r="I367" s="265"/>
      <c r="J367" s="266"/>
      <c r="K367" s="266"/>
    </row>
    <row r="368" customFormat="false" ht="15.75" hidden="false" customHeight="false" outlineLevel="0" collapsed="false">
      <c r="D368" s="264"/>
      <c r="E368" s="265"/>
      <c r="F368" s="265"/>
      <c r="G368" s="265"/>
      <c r="H368" s="265"/>
      <c r="I368" s="265"/>
      <c r="J368" s="266"/>
      <c r="K368" s="266"/>
    </row>
    <row r="369" customFormat="false" ht="15.75" hidden="false" customHeight="false" outlineLevel="0" collapsed="false">
      <c r="D369" s="264"/>
      <c r="E369" s="265"/>
      <c r="F369" s="265"/>
      <c r="G369" s="265"/>
      <c r="H369" s="265"/>
      <c r="I369" s="265"/>
      <c r="J369" s="266"/>
      <c r="K369" s="266"/>
    </row>
    <row r="370" customFormat="false" ht="15.75" hidden="false" customHeight="false" outlineLevel="0" collapsed="false">
      <c r="D370" s="264"/>
      <c r="E370" s="265"/>
      <c r="F370" s="265"/>
      <c r="G370" s="265"/>
      <c r="H370" s="265"/>
      <c r="I370" s="265"/>
      <c r="J370" s="266"/>
      <c r="K370" s="266"/>
    </row>
    <row r="371" customFormat="false" ht="15.75" hidden="false" customHeight="false" outlineLevel="0" collapsed="false">
      <c r="D371" s="264"/>
      <c r="E371" s="265"/>
      <c r="F371" s="265"/>
      <c r="G371" s="265"/>
      <c r="H371" s="265"/>
      <c r="I371" s="265"/>
      <c r="J371" s="266"/>
      <c r="K371" s="266"/>
    </row>
    <row r="372" customFormat="false" ht="15.75" hidden="false" customHeight="false" outlineLevel="0" collapsed="false">
      <c r="D372" s="264"/>
      <c r="E372" s="265"/>
      <c r="F372" s="265"/>
      <c r="G372" s="265"/>
      <c r="H372" s="265"/>
      <c r="I372" s="265"/>
      <c r="J372" s="266"/>
      <c r="K372" s="266"/>
    </row>
    <row r="373" customFormat="false" ht="15.75" hidden="false" customHeight="false" outlineLevel="0" collapsed="false">
      <c r="D373" s="264"/>
      <c r="E373" s="265"/>
      <c r="F373" s="265"/>
      <c r="G373" s="265"/>
      <c r="H373" s="265"/>
      <c r="I373" s="265"/>
      <c r="J373" s="266"/>
      <c r="K373" s="266"/>
    </row>
    <row r="374" customFormat="false" ht="15.75" hidden="false" customHeight="false" outlineLevel="0" collapsed="false">
      <c r="D374" s="264"/>
      <c r="E374" s="265"/>
      <c r="F374" s="265"/>
      <c r="G374" s="265"/>
      <c r="H374" s="265"/>
      <c r="I374" s="265"/>
      <c r="J374" s="266"/>
      <c r="K374" s="266"/>
    </row>
    <row r="375" customFormat="false" ht="15.75" hidden="false" customHeight="false" outlineLevel="0" collapsed="false">
      <c r="D375" s="264"/>
      <c r="E375" s="265"/>
      <c r="F375" s="265"/>
      <c r="G375" s="265"/>
      <c r="H375" s="265"/>
      <c r="I375" s="265"/>
      <c r="J375" s="266"/>
      <c r="K375" s="266"/>
    </row>
    <row r="376" customFormat="false" ht="15.75" hidden="false" customHeight="false" outlineLevel="0" collapsed="false">
      <c r="D376" s="264"/>
      <c r="E376" s="265"/>
      <c r="F376" s="265"/>
      <c r="G376" s="265"/>
      <c r="H376" s="265"/>
      <c r="I376" s="265"/>
      <c r="J376" s="266"/>
      <c r="K376" s="266"/>
    </row>
    <row r="377" customFormat="false" ht="15.75" hidden="false" customHeight="false" outlineLevel="0" collapsed="false">
      <c r="D377" s="264"/>
      <c r="E377" s="265"/>
      <c r="F377" s="265"/>
      <c r="G377" s="265"/>
      <c r="H377" s="265"/>
      <c r="I377" s="265"/>
      <c r="J377" s="266"/>
      <c r="K377" s="266"/>
    </row>
    <row r="378" customFormat="false" ht="15.75" hidden="false" customHeight="false" outlineLevel="0" collapsed="false">
      <c r="D378" s="264"/>
      <c r="E378" s="265"/>
      <c r="F378" s="265"/>
      <c r="G378" s="265"/>
      <c r="H378" s="265"/>
      <c r="I378" s="265"/>
      <c r="J378" s="266"/>
      <c r="K378" s="266"/>
    </row>
    <row r="379" customFormat="false" ht="15.75" hidden="false" customHeight="false" outlineLevel="0" collapsed="false">
      <c r="D379" s="264"/>
      <c r="E379" s="265"/>
      <c r="F379" s="265"/>
      <c r="G379" s="265"/>
      <c r="H379" s="265"/>
      <c r="I379" s="265"/>
      <c r="J379" s="266"/>
      <c r="K379" s="266"/>
    </row>
    <row r="380" customFormat="false" ht="15.75" hidden="false" customHeight="false" outlineLevel="0" collapsed="false">
      <c r="D380" s="264"/>
      <c r="E380" s="265"/>
      <c r="F380" s="265"/>
      <c r="G380" s="265"/>
      <c r="H380" s="265"/>
      <c r="I380" s="265"/>
      <c r="J380" s="266"/>
      <c r="K380" s="266"/>
    </row>
    <row r="381" customFormat="false" ht="15.75" hidden="false" customHeight="false" outlineLevel="0" collapsed="false">
      <c r="D381" s="264"/>
      <c r="E381" s="265"/>
      <c r="F381" s="265"/>
      <c r="G381" s="265"/>
      <c r="H381" s="265"/>
      <c r="I381" s="265"/>
      <c r="J381" s="266"/>
      <c r="K381" s="266"/>
    </row>
    <row r="382" customFormat="false" ht="15.75" hidden="false" customHeight="false" outlineLevel="0" collapsed="false">
      <c r="D382" s="264"/>
      <c r="E382" s="265"/>
      <c r="F382" s="265"/>
      <c r="G382" s="265"/>
      <c r="H382" s="265"/>
      <c r="I382" s="265"/>
      <c r="J382" s="266"/>
      <c r="K382" s="266"/>
    </row>
    <row r="383" customFormat="false" ht="15.75" hidden="false" customHeight="false" outlineLevel="0" collapsed="false">
      <c r="D383" s="264"/>
      <c r="E383" s="265"/>
      <c r="F383" s="265"/>
      <c r="G383" s="265"/>
      <c r="H383" s="265"/>
      <c r="I383" s="265"/>
      <c r="J383" s="266"/>
      <c r="K383" s="266"/>
    </row>
    <row r="384" customFormat="false" ht="15.75" hidden="false" customHeight="false" outlineLevel="0" collapsed="false">
      <c r="D384" s="264"/>
      <c r="E384" s="265"/>
      <c r="F384" s="265"/>
      <c r="G384" s="265"/>
      <c r="H384" s="265"/>
      <c r="I384" s="265"/>
      <c r="J384" s="266"/>
      <c r="K384" s="266"/>
    </row>
    <row r="385" customFormat="false" ht="15.75" hidden="false" customHeight="false" outlineLevel="0" collapsed="false">
      <c r="D385" s="264"/>
      <c r="E385" s="265"/>
      <c r="F385" s="265"/>
      <c r="G385" s="265"/>
      <c r="H385" s="265"/>
      <c r="I385" s="265"/>
      <c r="J385" s="266"/>
      <c r="K385" s="266"/>
    </row>
    <row r="386" customFormat="false" ht="15.75" hidden="false" customHeight="false" outlineLevel="0" collapsed="false">
      <c r="D386" s="264"/>
      <c r="E386" s="265"/>
      <c r="F386" s="265"/>
      <c r="G386" s="265"/>
      <c r="H386" s="265"/>
      <c r="I386" s="265"/>
      <c r="J386" s="266"/>
      <c r="K386" s="266"/>
    </row>
    <row r="387" customFormat="false" ht="15.75" hidden="false" customHeight="false" outlineLevel="0" collapsed="false">
      <c r="D387" s="264"/>
      <c r="E387" s="265"/>
      <c r="F387" s="265"/>
      <c r="G387" s="265"/>
      <c r="H387" s="265"/>
      <c r="I387" s="265"/>
      <c r="J387" s="266"/>
      <c r="K387" s="266"/>
    </row>
    <row r="388" customFormat="false" ht="15.75" hidden="false" customHeight="false" outlineLevel="0" collapsed="false">
      <c r="D388" s="264"/>
      <c r="E388" s="265"/>
      <c r="F388" s="265"/>
      <c r="G388" s="265"/>
      <c r="H388" s="265"/>
      <c r="I388" s="265"/>
      <c r="J388" s="266"/>
      <c r="K388" s="266"/>
    </row>
    <row r="389" customFormat="false" ht="15.75" hidden="false" customHeight="false" outlineLevel="0" collapsed="false">
      <c r="D389" s="264"/>
      <c r="E389" s="265"/>
      <c r="F389" s="265"/>
      <c r="G389" s="265"/>
      <c r="H389" s="265"/>
      <c r="I389" s="265"/>
      <c r="J389" s="266"/>
      <c r="K389" s="266"/>
    </row>
    <row r="390" customFormat="false" ht="15.75" hidden="false" customHeight="false" outlineLevel="0" collapsed="false">
      <c r="D390" s="264"/>
      <c r="E390" s="265"/>
      <c r="F390" s="265"/>
      <c r="G390" s="265"/>
      <c r="H390" s="265"/>
      <c r="I390" s="265"/>
      <c r="J390" s="266"/>
      <c r="K390" s="266"/>
    </row>
    <row r="391" customFormat="false" ht="15.75" hidden="false" customHeight="false" outlineLevel="0" collapsed="false">
      <c r="D391" s="264"/>
      <c r="E391" s="265"/>
      <c r="F391" s="265"/>
      <c r="G391" s="265"/>
      <c r="H391" s="265"/>
      <c r="I391" s="265"/>
      <c r="J391" s="266"/>
      <c r="K391" s="266"/>
    </row>
    <row r="392" customFormat="false" ht="15.75" hidden="false" customHeight="false" outlineLevel="0" collapsed="false">
      <c r="D392" s="264"/>
      <c r="E392" s="265"/>
      <c r="F392" s="265"/>
      <c r="G392" s="265"/>
      <c r="H392" s="265"/>
      <c r="I392" s="265"/>
      <c r="J392" s="266"/>
      <c r="K392" s="266"/>
    </row>
    <row r="393" customFormat="false" ht="15.75" hidden="false" customHeight="false" outlineLevel="0" collapsed="false">
      <c r="D393" s="264"/>
      <c r="E393" s="265"/>
      <c r="F393" s="265"/>
      <c r="G393" s="265"/>
      <c r="H393" s="265"/>
      <c r="I393" s="265"/>
      <c r="J393" s="266"/>
      <c r="K393" s="266"/>
    </row>
    <row r="394" customFormat="false" ht="15.75" hidden="false" customHeight="false" outlineLevel="0" collapsed="false">
      <c r="D394" s="264"/>
      <c r="E394" s="265"/>
      <c r="F394" s="265"/>
      <c r="G394" s="265"/>
      <c r="H394" s="265"/>
      <c r="I394" s="265"/>
      <c r="J394" s="266"/>
      <c r="K394" s="266"/>
    </row>
    <row r="395" customFormat="false" ht="15.75" hidden="false" customHeight="false" outlineLevel="0" collapsed="false">
      <c r="D395" s="264"/>
      <c r="E395" s="265"/>
      <c r="F395" s="265"/>
      <c r="G395" s="265"/>
      <c r="H395" s="265"/>
      <c r="I395" s="265"/>
      <c r="J395" s="266"/>
      <c r="K395" s="266"/>
    </row>
    <row r="396" customFormat="false" ht="15.75" hidden="false" customHeight="false" outlineLevel="0" collapsed="false">
      <c r="D396" s="264"/>
      <c r="E396" s="265"/>
      <c r="F396" s="265"/>
      <c r="G396" s="265"/>
      <c r="H396" s="265"/>
      <c r="I396" s="265"/>
      <c r="J396" s="266"/>
      <c r="K396" s="266"/>
    </row>
    <row r="397" customFormat="false" ht="15.75" hidden="false" customHeight="false" outlineLevel="0" collapsed="false">
      <c r="D397" s="264"/>
      <c r="E397" s="265"/>
      <c r="F397" s="265"/>
      <c r="G397" s="265"/>
      <c r="H397" s="265"/>
      <c r="I397" s="265"/>
      <c r="J397" s="266"/>
      <c r="K397" s="266"/>
    </row>
    <row r="398" customFormat="false" ht="15.75" hidden="false" customHeight="false" outlineLevel="0" collapsed="false">
      <c r="D398" s="264"/>
      <c r="E398" s="265"/>
      <c r="F398" s="265"/>
      <c r="G398" s="265"/>
      <c r="H398" s="265"/>
      <c r="I398" s="265"/>
      <c r="J398" s="266"/>
      <c r="K398" s="266"/>
    </row>
    <row r="399" customFormat="false" ht="15.75" hidden="false" customHeight="false" outlineLevel="0" collapsed="false">
      <c r="D399" s="264"/>
      <c r="E399" s="265"/>
      <c r="F399" s="265"/>
      <c r="G399" s="265"/>
      <c r="H399" s="265"/>
      <c r="I399" s="265"/>
      <c r="J399" s="266"/>
      <c r="K399" s="266"/>
    </row>
    <row r="400" customFormat="false" ht="15.75" hidden="false" customHeight="false" outlineLevel="0" collapsed="false">
      <c r="D400" s="264"/>
      <c r="E400" s="265"/>
      <c r="F400" s="265"/>
      <c r="G400" s="265"/>
      <c r="H400" s="265"/>
      <c r="I400" s="265"/>
      <c r="J400" s="266"/>
      <c r="K400" s="266"/>
    </row>
    <row r="401" customFormat="false" ht="15.75" hidden="false" customHeight="false" outlineLevel="0" collapsed="false">
      <c r="D401" s="264"/>
      <c r="E401" s="265"/>
      <c r="F401" s="265"/>
      <c r="G401" s="265"/>
      <c r="H401" s="265"/>
      <c r="I401" s="265"/>
      <c r="J401" s="266"/>
      <c r="K401" s="266"/>
    </row>
    <row r="402" customFormat="false" ht="15.75" hidden="false" customHeight="false" outlineLevel="0" collapsed="false">
      <c r="D402" s="264"/>
      <c r="E402" s="265"/>
      <c r="F402" s="265"/>
      <c r="G402" s="265"/>
      <c r="H402" s="265"/>
      <c r="I402" s="265"/>
      <c r="J402" s="266"/>
      <c r="K402" s="266"/>
    </row>
    <row r="403" customFormat="false" ht="15.75" hidden="false" customHeight="false" outlineLevel="0" collapsed="false">
      <c r="D403" s="264"/>
      <c r="E403" s="265"/>
      <c r="F403" s="265"/>
      <c r="G403" s="265"/>
      <c r="H403" s="265"/>
      <c r="I403" s="265"/>
      <c r="J403" s="266"/>
      <c r="K403" s="266"/>
    </row>
    <row r="404" customFormat="false" ht="15.75" hidden="false" customHeight="false" outlineLevel="0" collapsed="false">
      <c r="D404" s="264"/>
      <c r="E404" s="265"/>
      <c r="F404" s="265"/>
      <c r="G404" s="265"/>
      <c r="H404" s="265"/>
      <c r="I404" s="265"/>
      <c r="J404" s="266"/>
      <c r="K404" s="266"/>
    </row>
    <row r="405" customFormat="false" ht="15.75" hidden="false" customHeight="false" outlineLevel="0" collapsed="false">
      <c r="D405" s="264"/>
      <c r="E405" s="265"/>
      <c r="F405" s="265"/>
      <c r="G405" s="265"/>
      <c r="H405" s="265"/>
      <c r="I405" s="265"/>
      <c r="J405" s="266"/>
      <c r="K405" s="266"/>
    </row>
    <row r="406" customFormat="false" ht="15.75" hidden="false" customHeight="false" outlineLevel="0" collapsed="false">
      <c r="D406" s="264"/>
      <c r="E406" s="265"/>
      <c r="F406" s="265"/>
      <c r="G406" s="265"/>
      <c r="H406" s="265"/>
      <c r="I406" s="265"/>
      <c r="J406" s="266"/>
      <c r="K406" s="266"/>
    </row>
    <row r="407" customFormat="false" ht="15.75" hidden="false" customHeight="false" outlineLevel="0" collapsed="false">
      <c r="D407" s="264"/>
      <c r="E407" s="265"/>
      <c r="F407" s="265"/>
      <c r="G407" s="265"/>
      <c r="H407" s="265"/>
      <c r="I407" s="265"/>
      <c r="J407" s="266"/>
      <c r="K407" s="266"/>
    </row>
    <row r="408" customFormat="false" ht="15.75" hidden="false" customHeight="false" outlineLevel="0" collapsed="false">
      <c r="D408" s="264"/>
      <c r="E408" s="265"/>
      <c r="F408" s="265"/>
      <c r="G408" s="265"/>
      <c r="H408" s="265"/>
      <c r="I408" s="265"/>
      <c r="J408" s="266"/>
      <c r="K408" s="266"/>
    </row>
    <row r="409" customFormat="false" ht="15.75" hidden="false" customHeight="false" outlineLevel="0" collapsed="false">
      <c r="D409" s="264"/>
      <c r="E409" s="265"/>
      <c r="F409" s="265"/>
      <c r="G409" s="265"/>
      <c r="H409" s="265"/>
      <c r="I409" s="265"/>
      <c r="J409" s="266"/>
      <c r="K409" s="266"/>
    </row>
    <row r="410" customFormat="false" ht="15.75" hidden="false" customHeight="false" outlineLevel="0" collapsed="false">
      <c r="D410" s="264"/>
      <c r="E410" s="265"/>
      <c r="F410" s="265"/>
      <c r="G410" s="265"/>
      <c r="H410" s="265"/>
      <c r="I410" s="265"/>
      <c r="J410" s="266"/>
      <c r="K410" s="266"/>
    </row>
    <row r="411" customFormat="false" ht="15.75" hidden="false" customHeight="false" outlineLevel="0" collapsed="false">
      <c r="D411" s="264"/>
      <c r="E411" s="265"/>
      <c r="F411" s="265"/>
      <c r="G411" s="265"/>
      <c r="H411" s="265"/>
      <c r="I411" s="265"/>
      <c r="J411" s="266"/>
      <c r="K411" s="266"/>
    </row>
    <row r="412" customFormat="false" ht="15.75" hidden="false" customHeight="false" outlineLevel="0" collapsed="false">
      <c r="D412" s="264"/>
      <c r="E412" s="265"/>
      <c r="F412" s="265"/>
      <c r="G412" s="265"/>
      <c r="H412" s="265"/>
      <c r="I412" s="265"/>
      <c r="J412" s="266"/>
      <c r="K412" s="266"/>
    </row>
    <row r="413" customFormat="false" ht="15.75" hidden="false" customHeight="false" outlineLevel="0" collapsed="false">
      <c r="D413" s="264"/>
      <c r="E413" s="265"/>
      <c r="F413" s="265"/>
      <c r="G413" s="265"/>
      <c r="H413" s="265"/>
      <c r="I413" s="265"/>
      <c r="J413" s="266"/>
      <c r="K413" s="266"/>
    </row>
    <row r="414" customFormat="false" ht="15.75" hidden="false" customHeight="false" outlineLevel="0" collapsed="false">
      <c r="D414" s="264"/>
      <c r="E414" s="265"/>
      <c r="F414" s="265"/>
      <c r="G414" s="265"/>
      <c r="H414" s="265"/>
      <c r="I414" s="265"/>
      <c r="J414" s="266"/>
      <c r="K414" s="266"/>
    </row>
    <row r="415" customFormat="false" ht="15.75" hidden="false" customHeight="false" outlineLevel="0" collapsed="false">
      <c r="D415" s="264"/>
      <c r="E415" s="265"/>
      <c r="F415" s="265"/>
      <c r="G415" s="265"/>
      <c r="H415" s="265"/>
      <c r="I415" s="265"/>
      <c r="J415" s="266"/>
      <c r="K415" s="266"/>
    </row>
    <row r="416" customFormat="false" ht="15.75" hidden="false" customHeight="false" outlineLevel="0" collapsed="false">
      <c r="D416" s="264"/>
      <c r="E416" s="265"/>
      <c r="F416" s="265"/>
      <c r="G416" s="265"/>
      <c r="H416" s="265"/>
      <c r="I416" s="265"/>
      <c r="J416" s="266"/>
      <c r="K416" s="266"/>
    </row>
    <row r="417" customFormat="false" ht="15.75" hidden="false" customHeight="false" outlineLevel="0" collapsed="false">
      <c r="D417" s="264"/>
      <c r="E417" s="265"/>
      <c r="F417" s="265"/>
      <c r="G417" s="265"/>
      <c r="H417" s="265"/>
      <c r="I417" s="265"/>
      <c r="J417" s="266"/>
      <c r="K417" s="266"/>
    </row>
    <row r="418" customFormat="false" ht="15.75" hidden="false" customHeight="false" outlineLevel="0" collapsed="false">
      <c r="D418" s="264"/>
      <c r="E418" s="265"/>
      <c r="F418" s="265"/>
      <c r="G418" s="265"/>
      <c r="H418" s="265"/>
      <c r="I418" s="265"/>
      <c r="J418" s="266"/>
      <c r="K418" s="266"/>
    </row>
    <row r="419" customFormat="false" ht="15.75" hidden="false" customHeight="false" outlineLevel="0" collapsed="false">
      <c r="D419" s="264"/>
      <c r="E419" s="265"/>
      <c r="F419" s="265"/>
      <c r="G419" s="265"/>
      <c r="H419" s="265"/>
      <c r="I419" s="265"/>
      <c r="J419" s="266"/>
      <c r="K419" s="266"/>
    </row>
    <row r="420" customFormat="false" ht="15.75" hidden="false" customHeight="false" outlineLevel="0" collapsed="false">
      <c r="D420" s="264"/>
      <c r="E420" s="265"/>
      <c r="F420" s="265"/>
      <c r="G420" s="265"/>
      <c r="H420" s="265"/>
      <c r="I420" s="265"/>
      <c r="J420" s="266"/>
      <c r="K420" s="266"/>
    </row>
    <row r="421" customFormat="false" ht="15.75" hidden="false" customHeight="false" outlineLevel="0" collapsed="false">
      <c r="D421" s="264"/>
      <c r="E421" s="265"/>
      <c r="F421" s="265"/>
      <c r="G421" s="265"/>
      <c r="H421" s="265"/>
      <c r="I421" s="265"/>
      <c r="J421" s="266"/>
      <c r="K421" s="266"/>
    </row>
    <row r="422" customFormat="false" ht="15.75" hidden="false" customHeight="false" outlineLevel="0" collapsed="false">
      <c r="D422" s="264"/>
      <c r="E422" s="265"/>
      <c r="F422" s="265"/>
      <c r="G422" s="265"/>
      <c r="H422" s="265"/>
      <c r="I422" s="265"/>
      <c r="J422" s="266"/>
      <c r="K422" s="266"/>
    </row>
    <row r="423" customFormat="false" ht="15.75" hidden="false" customHeight="false" outlineLevel="0" collapsed="false">
      <c r="D423" s="264"/>
      <c r="E423" s="265"/>
      <c r="F423" s="265"/>
      <c r="G423" s="265"/>
      <c r="H423" s="265"/>
      <c r="I423" s="265"/>
      <c r="J423" s="266"/>
      <c r="K423" s="266"/>
    </row>
    <row r="424" customFormat="false" ht="15.75" hidden="false" customHeight="false" outlineLevel="0" collapsed="false">
      <c r="D424" s="264"/>
      <c r="E424" s="265"/>
      <c r="F424" s="265"/>
      <c r="G424" s="265"/>
      <c r="H424" s="265"/>
      <c r="I424" s="265"/>
      <c r="J424" s="266"/>
      <c r="K424" s="266"/>
    </row>
    <row r="425" customFormat="false" ht="15.75" hidden="false" customHeight="false" outlineLevel="0" collapsed="false">
      <c r="D425" s="264"/>
      <c r="E425" s="265"/>
      <c r="F425" s="265"/>
      <c r="G425" s="265"/>
      <c r="H425" s="265"/>
      <c r="I425" s="265"/>
      <c r="J425" s="266"/>
      <c r="K425" s="266"/>
    </row>
    <row r="426" customFormat="false" ht="15.75" hidden="false" customHeight="false" outlineLevel="0" collapsed="false">
      <c r="D426" s="264"/>
      <c r="E426" s="265"/>
      <c r="F426" s="265"/>
      <c r="G426" s="265"/>
      <c r="H426" s="265"/>
      <c r="I426" s="265"/>
      <c r="J426" s="266"/>
      <c r="K426" s="266"/>
    </row>
    <row r="427" customFormat="false" ht="15.75" hidden="false" customHeight="false" outlineLevel="0" collapsed="false">
      <c r="D427" s="264"/>
      <c r="E427" s="265"/>
      <c r="F427" s="265"/>
      <c r="G427" s="265"/>
      <c r="H427" s="265"/>
      <c r="I427" s="265"/>
      <c r="J427" s="266"/>
      <c r="K427" s="266"/>
    </row>
    <row r="428" customFormat="false" ht="15.75" hidden="false" customHeight="false" outlineLevel="0" collapsed="false">
      <c r="D428" s="264"/>
      <c r="E428" s="265"/>
      <c r="F428" s="265"/>
      <c r="G428" s="265"/>
      <c r="H428" s="265"/>
      <c r="I428" s="265"/>
      <c r="J428" s="266"/>
      <c r="K428" s="266"/>
    </row>
    <row r="429" customFormat="false" ht="15.75" hidden="false" customHeight="false" outlineLevel="0" collapsed="false">
      <c r="D429" s="264"/>
      <c r="E429" s="265"/>
      <c r="F429" s="265"/>
      <c r="G429" s="265"/>
      <c r="H429" s="265"/>
      <c r="I429" s="265"/>
      <c r="J429" s="266"/>
      <c r="K429" s="266"/>
    </row>
    <row r="430" customFormat="false" ht="15.75" hidden="false" customHeight="false" outlineLevel="0" collapsed="false">
      <c r="D430" s="264"/>
      <c r="E430" s="265"/>
      <c r="F430" s="265"/>
      <c r="G430" s="265"/>
      <c r="H430" s="265"/>
      <c r="I430" s="265"/>
      <c r="J430" s="266"/>
      <c r="K430" s="266"/>
    </row>
    <row r="431" customFormat="false" ht="15.75" hidden="false" customHeight="false" outlineLevel="0" collapsed="false">
      <c r="D431" s="264"/>
      <c r="E431" s="265"/>
      <c r="F431" s="265"/>
      <c r="G431" s="265"/>
      <c r="H431" s="265"/>
      <c r="I431" s="265"/>
      <c r="J431" s="266"/>
      <c r="K431" s="266"/>
    </row>
    <row r="432" customFormat="false" ht="15.75" hidden="false" customHeight="false" outlineLevel="0" collapsed="false">
      <c r="D432" s="264"/>
      <c r="E432" s="265"/>
      <c r="F432" s="265"/>
      <c r="G432" s="265"/>
      <c r="H432" s="265"/>
      <c r="I432" s="265"/>
      <c r="J432" s="266"/>
      <c r="K432" s="266"/>
    </row>
    <row r="433" customFormat="false" ht="15.75" hidden="false" customHeight="false" outlineLevel="0" collapsed="false">
      <c r="D433" s="264"/>
      <c r="E433" s="265"/>
      <c r="F433" s="265"/>
      <c r="G433" s="265"/>
      <c r="H433" s="265"/>
      <c r="I433" s="265"/>
      <c r="J433" s="266"/>
      <c r="K433" s="266"/>
    </row>
    <row r="434" customFormat="false" ht="15.75" hidden="false" customHeight="false" outlineLevel="0" collapsed="false">
      <c r="D434" s="264"/>
      <c r="E434" s="265"/>
      <c r="F434" s="265"/>
      <c r="G434" s="265"/>
      <c r="H434" s="265"/>
      <c r="I434" s="265"/>
      <c r="J434" s="266"/>
      <c r="K434" s="266"/>
    </row>
    <row r="435" customFormat="false" ht="15.75" hidden="false" customHeight="false" outlineLevel="0" collapsed="false">
      <c r="D435" s="264"/>
      <c r="E435" s="265"/>
      <c r="F435" s="265"/>
      <c r="G435" s="265"/>
      <c r="H435" s="265"/>
      <c r="I435" s="265"/>
      <c r="J435" s="266"/>
      <c r="K435" s="266"/>
    </row>
    <row r="436" customFormat="false" ht="15.75" hidden="false" customHeight="false" outlineLevel="0" collapsed="false">
      <c r="D436" s="264"/>
      <c r="E436" s="265"/>
      <c r="F436" s="265"/>
      <c r="G436" s="265"/>
      <c r="H436" s="265"/>
      <c r="I436" s="265"/>
      <c r="J436" s="266"/>
      <c r="K436" s="266"/>
    </row>
    <row r="437" customFormat="false" ht="15.75" hidden="false" customHeight="false" outlineLevel="0" collapsed="false">
      <c r="D437" s="264"/>
      <c r="E437" s="265"/>
      <c r="F437" s="265"/>
      <c r="G437" s="265"/>
      <c r="H437" s="265"/>
      <c r="I437" s="265"/>
      <c r="J437" s="266"/>
      <c r="K437" s="266"/>
    </row>
    <row r="438" customFormat="false" ht="15.75" hidden="false" customHeight="false" outlineLevel="0" collapsed="false">
      <c r="D438" s="264"/>
      <c r="E438" s="265"/>
      <c r="F438" s="265"/>
      <c r="G438" s="265"/>
      <c r="H438" s="265"/>
      <c r="I438" s="265"/>
      <c r="J438" s="266"/>
      <c r="K438" s="266"/>
    </row>
    <row r="439" customFormat="false" ht="15.75" hidden="false" customHeight="false" outlineLevel="0" collapsed="false">
      <c r="D439" s="264"/>
      <c r="E439" s="265"/>
      <c r="F439" s="265"/>
      <c r="G439" s="265"/>
      <c r="H439" s="265"/>
      <c r="I439" s="265"/>
      <c r="J439" s="266"/>
      <c r="K439" s="266"/>
    </row>
    <row r="440" customFormat="false" ht="15.75" hidden="false" customHeight="false" outlineLevel="0" collapsed="false">
      <c r="D440" s="264"/>
      <c r="E440" s="265"/>
      <c r="F440" s="265"/>
      <c r="G440" s="265"/>
      <c r="H440" s="265"/>
      <c r="I440" s="265"/>
      <c r="J440" s="266"/>
      <c r="K440" s="266"/>
    </row>
    <row r="441" customFormat="false" ht="15.75" hidden="false" customHeight="false" outlineLevel="0" collapsed="false">
      <c r="D441" s="264"/>
      <c r="E441" s="265"/>
      <c r="F441" s="265"/>
      <c r="G441" s="265"/>
      <c r="H441" s="265"/>
      <c r="I441" s="265"/>
      <c r="J441" s="266"/>
      <c r="K441" s="266"/>
    </row>
    <row r="442" customFormat="false" ht="15.75" hidden="false" customHeight="false" outlineLevel="0" collapsed="false">
      <c r="D442" s="264"/>
      <c r="E442" s="265"/>
      <c r="F442" s="265"/>
      <c r="G442" s="265"/>
      <c r="H442" s="265"/>
      <c r="I442" s="265"/>
      <c r="J442" s="266"/>
      <c r="K442" s="266"/>
    </row>
    <row r="443" customFormat="false" ht="15.75" hidden="false" customHeight="false" outlineLevel="0" collapsed="false">
      <c r="D443" s="264"/>
      <c r="E443" s="265"/>
      <c r="F443" s="265"/>
      <c r="G443" s="265"/>
      <c r="H443" s="265"/>
      <c r="I443" s="265"/>
      <c r="J443" s="266"/>
      <c r="K443" s="266"/>
    </row>
    <row r="444" customFormat="false" ht="15.75" hidden="false" customHeight="false" outlineLevel="0" collapsed="false">
      <c r="D444" s="264"/>
      <c r="E444" s="265"/>
      <c r="F444" s="265"/>
      <c r="G444" s="265"/>
      <c r="H444" s="265"/>
      <c r="I444" s="265"/>
      <c r="J444" s="266"/>
      <c r="K444" s="266"/>
    </row>
    <row r="445" customFormat="false" ht="15.75" hidden="false" customHeight="false" outlineLevel="0" collapsed="false">
      <c r="D445" s="264"/>
      <c r="E445" s="265"/>
      <c r="F445" s="265"/>
      <c r="G445" s="265"/>
      <c r="H445" s="265"/>
      <c r="I445" s="265"/>
      <c r="J445" s="266"/>
      <c r="K445" s="266"/>
    </row>
    <row r="446" customFormat="false" ht="15.75" hidden="false" customHeight="false" outlineLevel="0" collapsed="false">
      <c r="D446" s="264"/>
      <c r="E446" s="265"/>
      <c r="F446" s="265"/>
      <c r="G446" s="265"/>
      <c r="H446" s="265"/>
      <c r="I446" s="265"/>
      <c r="J446" s="266"/>
      <c r="K446" s="266"/>
    </row>
    <row r="447" customFormat="false" ht="15.75" hidden="false" customHeight="false" outlineLevel="0" collapsed="false">
      <c r="D447" s="264"/>
      <c r="E447" s="265"/>
      <c r="F447" s="265"/>
      <c r="G447" s="265"/>
      <c r="H447" s="265"/>
      <c r="I447" s="265"/>
      <c r="J447" s="266"/>
      <c r="K447" s="266"/>
    </row>
    <row r="448" customFormat="false" ht="15.75" hidden="false" customHeight="false" outlineLevel="0" collapsed="false">
      <c r="D448" s="264"/>
      <c r="E448" s="265"/>
      <c r="F448" s="265"/>
      <c r="G448" s="265"/>
      <c r="H448" s="265"/>
      <c r="I448" s="265"/>
      <c r="J448" s="266"/>
      <c r="K448" s="266"/>
    </row>
    <row r="449" customFormat="false" ht="15.75" hidden="false" customHeight="false" outlineLevel="0" collapsed="false">
      <c r="D449" s="264"/>
      <c r="E449" s="265"/>
      <c r="F449" s="265"/>
      <c r="G449" s="265"/>
      <c r="H449" s="265"/>
      <c r="I449" s="265"/>
      <c r="J449" s="266"/>
      <c r="K449" s="266"/>
    </row>
    <row r="450" customFormat="false" ht="15.75" hidden="false" customHeight="false" outlineLevel="0" collapsed="false">
      <c r="D450" s="264"/>
      <c r="E450" s="265"/>
      <c r="F450" s="265"/>
      <c r="G450" s="265"/>
      <c r="H450" s="265"/>
      <c r="I450" s="265"/>
      <c r="J450" s="266"/>
      <c r="K450" s="266"/>
    </row>
    <row r="451" customFormat="false" ht="15.75" hidden="false" customHeight="false" outlineLevel="0" collapsed="false">
      <c r="D451" s="264"/>
      <c r="E451" s="265"/>
      <c r="F451" s="265"/>
      <c r="G451" s="265"/>
      <c r="H451" s="265"/>
      <c r="I451" s="265"/>
      <c r="J451" s="266"/>
      <c r="K451" s="266"/>
    </row>
    <row r="452" customFormat="false" ht="15.75" hidden="false" customHeight="false" outlineLevel="0" collapsed="false">
      <c r="D452" s="264"/>
      <c r="E452" s="265"/>
      <c r="F452" s="265"/>
      <c r="G452" s="265"/>
      <c r="H452" s="265"/>
      <c r="I452" s="265"/>
      <c r="J452" s="266"/>
      <c r="K452" s="266"/>
    </row>
    <row r="453" customFormat="false" ht="15.75" hidden="false" customHeight="false" outlineLevel="0" collapsed="false">
      <c r="D453" s="264"/>
      <c r="E453" s="265"/>
      <c r="F453" s="265"/>
      <c r="G453" s="265"/>
      <c r="H453" s="265"/>
      <c r="I453" s="265"/>
      <c r="J453" s="266"/>
      <c r="K453" s="266"/>
    </row>
    <row r="454" customFormat="false" ht="15.75" hidden="false" customHeight="false" outlineLevel="0" collapsed="false">
      <c r="D454" s="264"/>
      <c r="E454" s="265"/>
      <c r="F454" s="265"/>
      <c r="G454" s="265"/>
      <c r="H454" s="265"/>
      <c r="I454" s="265"/>
      <c r="J454" s="266"/>
      <c r="K454" s="266"/>
    </row>
    <row r="455" customFormat="false" ht="15.75" hidden="false" customHeight="false" outlineLevel="0" collapsed="false">
      <c r="D455" s="264"/>
      <c r="E455" s="265"/>
      <c r="F455" s="265"/>
      <c r="G455" s="265"/>
      <c r="H455" s="265"/>
      <c r="I455" s="265"/>
      <c r="J455" s="266"/>
      <c r="K455" s="266"/>
    </row>
    <row r="456" customFormat="false" ht="15.75" hidden="false" customHeight="false" outlineLevel="0" collapsed="false">
      <c r="D456" s="264"/>
      <c r="E456" s="265"/>
      <c r="F456" s="265"/>
      <c r="G456" s="265"/>
      <c r="H456" s="265"/>
      <c r="I456" s="265"/>
      <c r="J456" s="266"/>
      <c r="K456" s="266"/>
    </row>
    <row r="457" customFormat="false" ht="15.75" hidden="false" customHeight="false" outlineLevel="0" collapsed="false">
      <c r="D457" s="264"/>
      <c r="E457" s="265"/>
      <c r="F457" s="265"/>
      <c r="G457" s="265"/>
      <c r="H457" s="265"/>
      <c r="I457" s="265"/>
      <c r="J457" s="266"/>
      <c r="K457" s="266"/>
    </row>
    <row r="458" customFormat="false" ht="15.75" hidden="false" customHeight="false" outlineLevel="0" collapsed="false">
      <c r="D458" s="264"/>
      <c r="E458" s="265"/>
      <c r="F458" s="265"/>
      <c r="G458" s="265"/>
      <c r="H458" s="265"/>
      <c r="I458" s="265"/>
      <c r="J458" s="266"/>
      <c r="K458" s="266"/>
    </row>
    <row r="459" customFormat="false" ht="15.75" hidden="false" customHeight="false" outlineLevel="0" collapsed="false">
      <c r="D459" s="264"/>
      <c r="E459" s="265"/>
      <c r="F459" s="265"/>
      <c r="G459" s="265"/>
      <c r="H459" s="265"/>
      <c r="I459" s="265"/>
      <c r="J459" s="266"/>
      <c r="K459" s="266"/>
    </row>
    <row r="460" customFormat="false" ht="15.75" hidden="false" customHeight="false" outlineLevel="0" collapsed="false">
      <c r="D460" s="264"/>
      <c r="E460" s="265"/>
      <c r="F460" s="265"/>
      <c r="G460" s="265"/>
      <c r="H460" s="265"/>
      <c r="I460" s="265"/>
      <c r="J460" s="266"/>
      <c r="K460" s="266"/>
    </row>
    <row r="461" customFormat="false" ht="15.75" hidden="false" customHeight="false" outlineLevel="0" collapsed="false">
      <c r="D461" s="264"/>
      <c r="E461" s="265"/>
      <c r="F461" s="265"/>
      <c r="G461" s="265"/>
      <c r="H461" s="265"/>
      <c r="I461" s="265"/>
      <c r="J461" s="266"/>
      <c r="K461" s="266"/>
    </row>
    <row r="462" customFormat="false" ht="15.75" hidden="false" customHeight="false" outlineLevel="0" collapsed="false">
      <c r="D462" s="264"/>
      <c r="E462" s="265"/>
      <c r="F462" s="265"/>
      <c r="G462" s="265"/>
      <c r="H462" s="265"/>
      <c r="I462" s="265"/>
      <c r="J462" s="266"/>
      <c r="K462" s="266"/>
    </row>
    <row r="463" customFormat="false" ht="15.75" hidden="false" customHeight="false" outlineLevel="0" collapsed="false">
      <c r="D463" s="264"/>
      <c r="E463" s="265"/>
      <c r="F463" s="265"/>
      <c r="G463" s="265"/>
      <c r="H463" s="265"/>
      <c r="I463" s="265"/>
      <c r="J463" s="266"/>
      <c r="K463" s="266"/>
    </row>
    <row r="464" customFormat="false" ht="15.75" hidden="false" customHeight="false" outlineLevel="0" collapsed="false">
      <c r="D464" s="264"/>
      <c r="E464" s="265"/>
      <c r="F464" s="265"/>
      <c r="G464" s="265"/>
      <c r="H464" s="265"/>
      <c r="I464" s="265"/>
      <c r="J464" s="266"/>
      <c r="K464" s="266"/>
    </row>
    <row r="465" customFormat="false" ht="15.75" hidden="false" customHeight="false" outlineLevel="0" collapsed="false">
      <c r="D465" s="264"/>
      <c r="E465" s="265"/>
      <c r="F465" s="265"/>
      <c r="G465" s="265"/>
      <c r="H465" s="265"/>
      <c r="I465" s="265"/>
      <c r="J465" s="266"/>
      <c r="K465" s="266"/>
    </row>
    <row r="466" customFormat="false" ht="15.75" hidden="false" customHeight="false" outlineLevel="0" collapsed="false">
      <c r="D466" s="264"/>
      <c r="E466" s="265"/>
      <c r="F466" s="265"/>
      <c r="G466" s="265"/>
      <c r="H466" s="265"/>
      <c r="I466" s="265"/>
      <c r="J466" s="266"/>
      <c r="K466" s="266"/>
    </row>
    <row r="467" customFormat="false" ht="15.75" hidden="false" customHeight="false" outlineLevel="0" collapsed="false">
      <c r="D467" s="264"/>
      <c r="E467" s="265"/>
      <c r="F467" s="265"/>
      <c r="G467" s="265"/>
      <c r="H467" s="265"/>
      <c r="I467" s="265"/>
      <c r="J467" s="266"/>
      <c r="K467" s="266"/>
    </row>
    <row r="468" customFormat="false" ht="15.75" hidden="false" customHeight="false" outlineLevel="0" collapsed="false">
      <c r="D468" s="264"/>
      <c r="E468" s="265"/>
      <c r="F468" s="265"/>
      <c r="G468" s="265"/>
      <c r="H468" s="265"/>
      <c r="I468" s="265"/>
      <c r="J468" s="266"/>
      <c r="K468" s="266"/>
    </row>
    <row r="469" customFormat="false" ht="15.75" hidden="false" customHeight="false" outlineLevel="0" collapsed="false">
      <c r="D469" s="264"/>
      <c r="E469" s="265"/>
      <c r="F469" s="265"/>
      <c r="G469" s="265"/>
      <c r="H469" s="265"/>
      <c r="I469" s="265"/>
      <c r="J469" s="266"/>
      <c r="K469" s="266"/>
    </row>
    <row r="470" customFormat="false" ht="15.75" hidden="false" customHeight="false" outlineLevel="0" collapsed="false">
      <c r="D470" s="264"/>
      <c r="E470" s="265"/>
      <c r="F470" s="265"/>
      <c r="G470" s="265"/>
      <c r="H470" s="265"/>
      <c r="I470" s="265"/>
      <c r="J470" s="266"/>
      <c r="K470" s="266"/>
    </row>
    <row r="471" customFormat="false" ht="15.75" hidden="false" customHeight="false" outlineLevel="0" collapsed="false">
      <c r="D471" s="264"/>
      <c r="E471" s="265"/>
      <c r="F471" s="265"/>
      <c r="G471" s="265"/>
      <c r="H471" s="265"/>
      <c r="I471" s="265"/>
      <c r="J471" s="266"/>
      <c r="K471" s="266"/>
    </row>
    <row r="472" customFormat="false" ht="15.75" hidden="false" customHeight="false" outlineLevel="0" collapsed="false">
      <c r="D472" s="264"/>
      <c r="E472" s="265"/>
      <c r="F472" s="265"/>
      <c r="G472" s="265"/>
      <c r="H472" s="265"/>
      <c r="I472" s="265"/>
      <c r="J472" s="266"/>
      <c r="K472" s="266"/>
    </row>
    <row r="473" customFormat="false" ht="15.75" hidden="false" customHeight="false" outlineLevel="0" collapsed="false">
      <c r="D473" s="264"/>
      <c r="E473" s="265"/>
      <c r="F473" s="265"/>
      <c r="G473" s="265"/>
      <c r="H473" s="265"/>
      <c r="I473" s="265"/>
      <c r="J473" s="266"/>
      <c r="K473" s="266"/>
    </row>
    <row r="474" customFormat="false" ht="15.75" hidden="false" customHeight="false" outlineLevel="0" collapsed="false">
      <c r="D474" s="264"/>
      <c r="E474" s="265"/>
      <c r="F474" s="265"/>
      <c r="G474" s="265"/>
      <c r="H474" s="265"/>
      <c r="I474" s="265"/>
      <c r="J474" s="266"/>
      <c r="K474" s="266"/>
    </row>
    <row r="475" customFormat="false" ht="15.75" hidden="false" customHeight="false" outlineLevel="0" collapsed="false">
      <c r="D475" s="264"/>
      <c r="E475" s="265"/>
      <c r="F475" s="265"/>
      <c r="G475" s="265"/>
      <c r="H475" s="265"/>
      <c r="I475" s="265"/>
      <c r="J475" s="266"/>
      <c r="K475" s="266"/>
    </row>
    <row r="476" customFormat="false" ht="15.75" hidden="false" customHeight="false" outlineLevel="0" collapsed="false">
      <c r="D476" s="264"/>
      <c r="E476" s="265"/>
      <c r="F476" s="265"/>
      <c r="G476" s="265"/>
      <c r="H476" s="265"/>
      <c r="I476" s="265"/>
      <c r="J476" s="266"/>
      <c r="K476" s="266"/>
    </row>
    <row r="477" customFormat="false" ht="15.75" hidden="false" customHeight="false" outlineLevel="0" collapsed="false">
      <c r="D477" s="264"/>
      <c r="E477" s="265"/>
      <c r="F477" s="265"/>
      <c r="G477" s="265"/>
      <c r="H477" s="265"/>
      <c r="I477" s="265"/>
      <c r="J477" s="266"/>
      <c r="K477" s="266"/>
    </row>
    <row r="478" customFormat="false" ht="15.75" hidden="false" customHeight="false" outlineLevel="0" collapsed="false">
      <c r="D478" s="264"/>
      <c r="E478" s="265"/>
      <c r="F478" s="265"/>
      <c r="G478" s="265"/>
      <c r="H478" s="265"/>
      <c r="I478" s="265"/>
      <c r="J478" s="266"/>
      <c r="K478" s="266"/>
    </row>
    <row r="479" customFormat="false" ht="15.75" hidden="false" customHeight="false" outlineLevel="0" collapsed="false">
      <c r="D479" s="264"/>
      <c r="E479" s="265"/>
      <c r="F479" s="265"/>
      <c r="G479" s="265"/>
      <c r="H479" s="265"/>
      <c r="I479" s="265"/>
      <c r="J479" s="266"/>
      <c r="K479" s="266"/>
    </row>
    <row r="480" customFormat="false" ht="15.75" hidden="false" customHeight="false" outlineLevel="0" collapsed="false">
      <c r="D480" s="264"/>
      <c r="E480" s="265"/>
      <c r="F480" s="265"/>
      <c r="G480" s="265"/>
      <c r="H480" s="265"/>
      <c r="I480" s="265"/>
      <c r="J480" s="266"/>
      <c r="K480" s="266"/>
    </row>
    <row r="481" customFormat="false" ht="15.75" hidden="false" customHeight="false" outlineLevel="0" collapsed="false">
      <c r="D481" s="264"/>
      <c r="E481" s="265"/>
      <c r="F481" s="265"/>
      <c r="G481" s="265"/>
      <c r="H481" s="265"/>
      <c r="I481" s="265"/>
      <c r="J481" s="266"/>
      <c r="K481" s="266"/>
    </row>
    <row r="482" customFormat="false" ht="15.75" hidden="false" customHeight="false" outlineLevel="0" collapsed="false">
      <c r="D482" s="264"/>
      <c r="E482" s="265"/>
      <c r="F482" s="265"/>
      <c r="G482" s="265"/>
      <c r="H482" s="265"/>
      <c r="I482" s="265"/>
      <c r="J482" s="266"/>
      <c r="K482" s="266"/>
    </row>
    <row r="483" customFormat="false" ht="15.75" hidden="false" customHeight="false" outlineLevel="0" collapsed="false">
      <c r="D483" s="264"/>
      <c r="E483" s="265"/>
      <c r="F483" s="265"/>
      <c r="G483" s="265"/>
      <c r="H483" s="265"/>
      <c r="I483" s="265"/>
      <c r="J483" s="266"/>
      <c r="K483" s="266"/>
    </row>
    <row r="484" customFormat="false" ht="15.75" hidden="false" customHeight="false" outlineLevel="0" collapsed="false">
      <c r="D484" s="264"/>
      <c r="E484" s="265"/>
      <c r="F484" s="265"/>
      <c r="G484" s="265"/>
      <c r="H484" s="265"/>
      <c r="I484" s="265"/>
      <c r="J484" s="266"/>
      <c r="K484" s="266"/>
    </row>
    <row r="485" customFormat="false" ht="15.75" hidden="false" customHeight="false" outlineLevel="0" collapsed="false">
      <c r="D485" s="264"/>
      <c r="E485" s="265"/>
      <c r="F485" s="265"/>
      <c r="G485" s="265"/>
      <c r="H485" s="265"/>
      <c r="I485" s="265"/>
      <c r="J485" s="266"/>
      <c r="K485" s="266"/>
    </row>
    <row r="486" customFormat="false" ht="15.75" hidden="false" customHeight="false" outlineLevel="0" collapsed="false">
      <c r="D486" s="264"/>
      <c r="E486" s="265"/>
      <c r="F486" s="265"/>
      <c r="G486" s="265"/>
      <c r="H486" s="265"/>
      <c r="I486" s="265"/>
      <c r="J486" s="266"/>
      <c r="K486" s="266"/>
    </row>
    <row r="487" customFormat="false" ht="15.75" hidden="false" customHeight="false" outlineLevel="0" collapsed="false">
      <c r="D487" s="264"/>
      <c r="E487" s="265"/>
      <c r="F487" s="265"/>
      <c r="G487" s="265"/>
      <c r="H487" s="265"/>
      <c r="I487" s="265"/>
      <c r="J487" s="266"/>
      <c r="K487" s="266"/>
    </row>
    <row r="488" customFormat="false" ht="15.75" hidden="false" customHeight="false" outlineLevel="0" collapsed="false">
      <c r="D488" s="264"/>
      <c r="E488" s="265"/>
      <c r="F488" s="265"/>
      <c r="G488" s="265"/>
      <c r="H488" s="265"/>
      <c r="I488" s="265"/>
      <c r="J488" s="266"/>
      <c r="K488" s="266"/>
    </row>
    <row r="489" customFormat="false" ht="15.75" hidden="false" customHeight="false" outlineLevel="0" collapsed="false">
      <c r="D489" s="264"/>
      <c r="E489" s="265"/>
      <c r="F489" s="265"/>
      <c r="G489" s="265"/>
      <c r="H489" s="265"/>
      <c r="I489" s="265"/>
      <c r="J489" s="266"/>
      <c r="K489" s="266"/>
    </row>
    <row r="490" customFormat="false" ht="15.75" hidden="false" customHeight="false" outlineLevel="0" collapsed="false">
      <c r="D490" s="264"/>
      <c r="E490" s="265"/>
      <c r="F490" s="265"/>
      <c r="G490" s="265"/>
      <c r="H490" s="265"/>
      <c r="I490" s="265"/>
      <c r="J490" s="266"/>
      <c r="K490" s="266"/>
    </row>
    <row r="491" customFormat="false" ht="15.75" hidden="false" customHeight="false" outlineLevel="0" collapsed="false">
      <c r="D491" s="264"/>
      <c r="E491" s="265"/>
      <c r="F491" s="265"/>
      <c r="G491" s="265"/>
      <c r="H491" s="265"/>
      <c r="I491" s="265"/>
      <c r="J491" s="266"/>
      <c r="K491" s="266"/>
    </row>
    <row r="492" customFormat="false" ht="15.75" hidden="false" customHeight="false" outlineLevel="0" collapsed="false">
      <c r="D492" s="264"/>
      <c r="E492" s="265"/>
      <c r="F492" s="265"/>
      <c r="G492" s="265"/>
      <c r="H492" s="265"/>
      <c r="I492" s="265"/>
      <c r="J492" s="266"/>
      <c r="K492" s="266"/>
    </row>
    <row r="493" customFormat="false" ht="15.75" hidden="false" customHeight="false" outlineLevel="0" collapsed="false">
      <c r="D493" s="264"/>
      <c r="E493" s="265"/>
      <c r="F493" s="265"/>
      <c r="G493" s="265"/>
      <c r="H493" s="265"/>
      <c r="I493" s="265"/>
      <c r="J493" s="266"/>
      <c r="K493" s="266"/>
    </row>
    <row r="494" customFormat="false" ht="15.75" hidden="false" customHeight="false" outlineLevel="0" collapsed="false">
      <c r="D494" s="264"/>
      <c r="E494" s="265"/>
      <c r="F494" s="265"/>
      <c r="G494" s="265"/>
      <c r="H494" s="265"/>
      <c r="I494" s="265"/>
      <c r="J494" s="266"/>
      <c r="K494" s="266"/>
    </row>
    <row r="495" customFormat="false" ht="15.75" hidden="false" customHeight="false" outlineLevel="0" collapsed="false">
      <c r="D495" s="264"/>
      <c r="E495" s="265"/>
      <c r="F495" s="265"/>
      <c r="G495" s="265"/>
      <c r="H495" s="265"/>
      <c r="I495" s="265"/>
      <c r="J495" s="266"/>
      <c r="K495" s="266"/>
    </row>
    <row r="496" customFormat="false" ht="15.75" hidden="false" customHeight="false" outlineLevel="0" collapsed="false">
      <c r="D496" s="264"/>
      <c r="E496" s="265"/>
      <c r="F496" s="265"/>
      <c r="G496" s="265"/>
      <c r="H496" s="265"/>
      <c r="I496" s="265"/>
      <c r="J496" s="266"/>
      <c r="K496" s="266"/>
    </row>
    <row r="497" customFormat="false" ht="15.75" hidden="false" customHeight="false" outlineLevel="0" collapsed="false">
      <c r="D497" s="264"/>
      <c r="E497" s="265"/>
      <c r="F497" s="265"/>
      <c r="G497" s="265"/>
      <c r="H497" s="265"/>
      <c r="I497" s="265"/>
      <c r="J497" s="266"/>
      <c r="K497" s="266"/>
    </row>
    <row r="498" customFormat="false" ht="15.75" hidden="false" customHeight="false" outlineLevel="0" collapsed="false">
      <c r="D498" s="264"/>
      <c r="E498" s="265"/>
      <c r="F498" s="265"/>
      <c r="G498" s="265"/>
      <c r="H498" s="265"/>
      <c r="I498" s="265"/>
      <c r="J498" s="266"/>
      <c r="K498" s="266"/>
    </row>
    <row r="499" customFormat="false" ht="15.75" hidden="false" customHeight="false" outlineLevel="0" collapsed="false">
      <c r="D499" s="264"/>
      <c r="E499" s="265"/>
      <c r="F499" s="265"/>
      <c r="G499" s="265"/>
      <c r="H499" s="265"/>
      <c r="I499" s="265"/>
      <c r="J499" s="266"/>
      <c r="K499" s="266"/>
    </row>
    <row r="500" customFormat="false" ht="15.75" hidden="false" customHeight="false" outlineLevel="0" collapsed="false">
      <c r="D500" s="264"/>
      <c r="E500" s="265"/>
      <c r="F500" s="265"/>
      <c r="G500" s="265"/>
      <c r="H500" s="265"/>
      <c r="I500" s="265"/>
      <c r="J500" s="266"/>
      <c r="K500" s="266"/>
    </row>
    <row r="501" customFormat="false" ht="15.75" hidden="false" customHeight="false" outlineLevel="0" collapsed="false">
      <c r="D501" s="264"/>
      <c r="E501" s="265"/>
      <c r="F501" s="265"/>
      <c r="G501" s="265"/>
      <c r="H501" s="265"/>
      <c r="I501" s="265"/>
      <c r="J501" s="266"/>
      <c r="K501" s="266"/>
    </row>
    <row r="502" customFormat="false" ht="15.75" hidden="false" customHeight="false" outlineLevel="0" collapsed="false">
      <c r="D502" s="264"/>
      <c r="E502" s="265"/>
      <c r="F502" s="265"/>
      <c r="G502" s="265"/>
      <c r="H502" s="265"/>
      <c r="I502" s="265"/>
      <c r="J502" s="266"/>
      <c r="K502" s="266"/>
    </row>
    <row r="503" customFormat="false" ht="15.75" hidden="false" customHeight="false" outlineLevel="0" collapsed="false">
      <c r="D503" s="264"/>
      <c r="E503" s="265"/>
      <c r="F503" s="265"/>
      <c r="G503" s="265"/>
      <c r="H503" s="265"/>
      <c r="I503" s="265"/>
      <c r="J503" s="266"/>
      <c r="K503" s="266"/>
    </row>
    <row r="504" customFormat="false" ht="15.75" hidden="false" customHeight="false" outlineLevel="0" collapsed="false">
      <c r="D504" s="264"/>
      <c r="E504" s="265"/>
      <c r="F504" s="265"/>
      <c r="G504" s="265"/>
      <c r="H504" s="265"/>
      <c r="I504" s="265"/>
      <c r="J504" s="266"/>
      <c r="K504" s="266"/>
    </row>
    <row r="505" customFormat="false" ht="15.75" hidden="false" customHeight="false" outlineLevel="0" collapsed="false">
      <c r="D505" s="264"/>
      <c r="E505" s="265"/>
      <c r="F505" s="265"/>
      <c r="G505" s="265"/>
      <c r="H505" s="265"/>
      <c r="I505" s="265"/>
      <c r="J505" s="266"/>
      <c r="K505" s="266"/>
    </row>
    <row r="506" customFormat="false" ht="15.75" hidden="false" customHeight="false" outlineLevel="0" collapsed="false">
      <c r="D506" s="264"/>
      <c r="E506" s="265"/>
      <c r="F506" s="265"/>
      <c r="G506" s="265"/>
      <c r="H506" s="265"/>
      <c r="I506" s="265"/>
      <c r="J506" s="266"/>
      <c r="K506" s="266"/>
    </row>
    <row r="507" customFormat="false" ht="15.75" hidden="false" customHeight="false" outlineLevel="0" collapsed="false">
      <c r="D507" s="264"/>
      <c r="E507" s="265"/>
      <c r="F507" s="265"/>
      <c r="G507" s="265"/>
      <c r="H507" s="265"/>
      <c r="I507" s="265"/>
      <c r="J507" s="266"/>
      <c r="K507" s="266"/>
    </row>
    <row r="508" customFormat="false" ht="15.75" hidden="false" customHeight="false" outlineLevel="0" collapsed="false">
      <c r="D508" s="264"/>
      <c r="E508" s="265"/>
      <c r="F508" s="265"/>
      <c r="G508" s="265"/>
      <c r="H508" s="265"/>
      <c r="I508" s="265"/>
      <c r="J508" s="266"/>
      <c r="K508" s="266"/>
    </row>
    <row r="509" customFormat="false" ht="15.75" hidden="false" customHeight="false" outlineLevel="0" collapsed="false">
      <c r="D509" s="264"/>
      <c r="E509" s="265"/>
      <c r="F509" s="265"/>
      <c r="G509" s="265"/>
      <c r="H509" s="265"/>
      <c r="I509" s="265"/>
      <c r="J509" s="266"/>
      <c r="K509" s="266"/>
    </row>
    <row r="510" customFormat="false" ht="15.75" hidden="false" customHeight="false" outlineLevel="0" collapsed="false">
      <c r="D510" s="264"/>
      <c r="E510" s="265"/>
      <c r="F510" s="265"/>
      <c r="G510" s="265"/>
      <c r="H510" s="265"/>
      <c r="I510" s="265"/>
      <c r="J510" s="266"/>
      <c r="K510" s="266"/>
    </row>
    <row r="511" customFormat="false" ht="15.75" hidden="false" customHeight="false" outlineLevel="0" collapsed="false">
      <c r="D511" s="264"/>
      <c r="E511" s="265"/>
      <c r="F511" s="265"/>
      <c r="G511" s="265"/>
      <c r="H511" s="265"/>
      <c r="I511" s="265"/>
      <c r="J511" s="266"/>
      <c r="K511" s="266"/>
    </row>
    <row r="512" customFormat="false" ht="15.75" hidden="false" customHeight="false" outlineLevel="0" collapsed="false">
      <c r="D512" s="264"/>
      <c r="E512" s="265"/>
      <c r="F512" s="265"/>
      <c r="G512" s="265"/>
      <c r="H512" s="265"/>
      <c r="I512" s="265"/>
      <c r="J512" s="266"/>
      <c r="K512" s="266"/>
    </row>
    <row r="513" customFormat="false" ht="15.75" hidden="false" customHeight="false" outlineLevel="0" collapsed="false">
      <c r="D513" s="264"/>
      <c r="E513" s="265"/>
      <c r="F513" s="265"/>
      <c r="G513" s="265"/>
      <c r="H513" s="265"/>
      <c r="I513" s="265"/>
      <c r="J513" s="266"/>
      <c r="K513" s="266"/>
    </row>
    <row r="514" customFormat="false" ht="15.75" hidden="false" customHeight="false" outlineLevel="0" collapsed="false">
      <c r="D514" s="264"/>
      <c r="E514" s="265"/>
      <c r="F514" s="265"/>
      <c r="G514" s="265"/>
      <c r="H514" s="265"/>
      <c r="I514" s="265"/>
      <c r="J514" s="266"/>
      <c r="K514" s="266"/>
    </row>
    <row r="515" customFormat="false" ht="15.75" hidden="false" customHeight="false" outlineLevel="0" collapsed="false">
      <c r="D515" s="264"/>
      <c r="E515" s="265"/>
      <c r="F515" s="265"/>
      <c r="G515" s="265"/>
      <c r="H515" s="265"/>
      <c r="I515" s="265"/>
      <c r="J515" s="266"/>
      <c r="K515" s="266"/>
    </row>
    <row r="516" customFormat="false" ht="15.75" hidden="false" customHeight="false" outlineLevel="0" collapsed="false">
      <c r="D516" s="264"/>
      <c r="E516" s="265"/>
      <c r="F516" s="265"/>
      <c r="G516" s="265"/>
      <c r="H516" s="265"/>
      <c r="I516" s="265"/>
      <c r="J516" s="266"/>
      <c r="K516" s="266"/>
    </row>
    <row r="517" customFormat="false" ht="15.75" hidden="false" customHeight="false" outlineLevel="0" collapsed="false">
      <c r="D517" s="264"/>
      <c r="E517" s="265"/>
      <c r="F517" s="265"/>
      <c r="G517" s="265"/>
      <c r="H517" s="265"/>
      <c r="I517" s="265"/>
      <c r="J517" s="266"/>
      <c r="K517" s="266"/>
    </row>
    <row r="518" customFormat="false" ht="15.75" hidden="false" customHeight="false" outlineLevel="0" collapsed="false">
      <c r="D518" s="264"/>
      <c r="E518" s="265"/>
      <c r="F518" s="265"/>
      <c r="G518" s="265"/>
      <c r="H518" s="265"/>
      <c r="I518" s="265"/>
      <c r="J518" s="266"/>
      <c r="K518" s="266"/>
    </row>
    <row r="519" customFormat="false" ht="15.75" hidden="false" customHeight="false" outlineLevel="0" collapsed="false">
      <c r="D519" s="264"/>
      <c r="E519" s="265"/>
      <c r="F519" s="265"/>
      <c r="G519" s="265"/>
      <c r="H519" s="265"/>
      <c r="I519" s="265"/>
      <c r="J519" s="266"/>
      <c r="K519" s="266"/>
    </row>
    <row r="520" customFormat="false" ht="15.75" hidden="false" customHeight="false" outlineLevel="0" collapsed="false">
      <c r="D520" s="264"/>
      <c r="E520" s="265"/>
      <c r="F520" s="265"/>
      <c r="G520" s="265"/>
      <c r="H520" s="265"/>
      <c r="I520" s="265"/>
      <c r="J520" s="266"/>
      <c r="K520" s="266"/>
    </row>
    <row r="521" customFormat="false" ht="15.75" hidden="false" customHeight="false" outlineLevel="0" collapsed="false">
      <c r="D521" s="264"/>
      <c r="E521" s="265"/>
      <c r="F521" s="265"/>
      <c r="G521" s="265"/>
      <c r="H521" s="265"/>
      <c r="I521" s="265"/>
      <c r="J521" s="266"/>
      <c r="K521" s="266"/>
    </row>
    <row r="522" customFormat="false" ht="15.75" hidden="false" customHeight="false" outlineLevel="0" collapsed="false">
      <c r="D522" s="264"/>
      <c r="E522" s="265"/>
      <c r="F522" s="265"/>
      <c r="G522" s="265"/>
      <c r="H522" s="265"/>
      <c r="I522" s="265"/>
      <c r="J522" s="266"/>
      <c r="K522" s="266"/>
    </row>
    <row r="523" customFormat="false" ht="15.75" hidden="false" customHeight="false" outlineLevel="0" collapsed="false">
      <c r="D523" s="264"/>
      <c r="E523" s="265"/>
      <c r="F523" s="265"/>
      <c r="G523" s="265"/>
      <c r="H523" s="265"/>
      <c r="I523" s="265"/>
      <c r="J523" s="266"/>
      <c r="K523" s="266"/>
    </row>
    <row r="524" customFormat="false" ht="15.75" hidden="false" customHeight="false" outlineLevel="0" collapsed="false">
      <c r="D524" s="264"/>
      <c r="E524" s="265"/>
      <c r="F524" s="265"/>
      <c r="G524" s="265"/>
      <c r="H524" s="265"/>
      <c r="I524" s="265"/>
      <c r="J524" s="266"/>
      <c r="K524" s="266"/>
    </row>
    <row r="525" customFormat="false" ht="15.75" hidden="false" customHeight="false" outlineLevel="0" collapsed="false">
      <c r="D525" s="264"/>
      <c r="E525" s="265"/>
      <c r="F525" s="265"/>
      <c r="G525" s="265"/>
      <c r="H525" s="265"/>
      <c r="I525" s="265"/>
      <c r="J525" s="266"/>
      <c r="K525" s="266"/>
    </row>
    <row r="526" customFormat="false" ht="15.75" hidden="false" customHeight="false" outlineLevel="0" collapsed="false">
      <c r="D526" s="264"/>
      <c r="E526" s="265"/>
      <c r="F526" s="265"/>
      <c r="G526" s="265"/>
      <c r="H526" s="265"/>
      <c r="I526" s="265"/>
      <c r="J526" s="266"/>
      <c r="K526" s="266"/>
    </row>
    <row r="527" customFormat="false" ht="15.75" hidden="false" customHeight="false" outlineLevel="0" collapsed="false">
      <c r="D527" s="264"/>
      <c r="E527" s="265"/>
      <c r="F527" s="265"/>
      <c r="G527" s="265"/>
      <c r="H527" s="265"/>
      <c r="I527" s="265"/>
      <c r="J527" s="266"/>
      <c r="K527" s="266"/>
    </row>
    <row r="528" customFormat="false" ht="15.75" hidden="false" customHeight="false" outlineLevel="0" collapsed="false">
      <c r="D528" s="264"/>
      <c r="E528" s="265"/>
      <c r="F528" s="265"/>
      <c r="G528" s="265"/>
      <c r="H528" s="265"/>
      <c r="I528" s="265"/>
      <c r="J528" s="266"/>
      <c r="K528" s="266"/>
    </row>
    <row r="529" customFormat="false" ht="15.75" hidden="false" customHeight="false" outlineLevel="0" collapsed="false">
      <c r="D529" s="264"/>
      <c r="E529" s="265"/>
      <c r="F529" s="265"/>
      <c r="G529" s="265"/>
      <c r="H529" s="265"/>
      <c r="I529" s="265"/>
      <c r="J529" s="266"/>
      <c r="K529" s="266"/>
    </row>
    <row r="530" customFormat="false" ht="15.75" hidden="false" customHeight="false" outlineLevel="0" collapsed="false">
      <c r="D530" s="264"/>
      <c r="E530" s="265"/>
      <c r="F530" s="265"/>
      <c r="G530" s="265"/>
      <c r="H530" s="265"/>
      <c r="I530" s="265"/>
      <c r="J530" s="266"/>
      <c r="K530" s="266"/>
    </row>
    <row r="531" customFormat="false" ht="15.75" hidden="false" customHeight="false" outlineLevel="0" collapsed="false">
      <c r="D531" s="264"/>
      <c r="E531" s="265"/>
      <c r="F531" s="265"/>
      <c r="G531" s="265"/>
      <c r="H531" s="265"/>
      <c r="I531" s="265"/>
      <c r="J531" s="266"/>
      <c r="K531" s="266"/>
    </row>
    <row r="532" customFormat="false" ht="15.75" hidden="false" customHeight="false" outlineLevel="0" collapsed="false">
      <c r="D532" s="264"/>
      <c r="E532" s="265"/>
      <c r="F532" s="265"/>
      <c r="G532" s="265"/>
      <c r="H532" s="265"/>
      <c r="I532" s="265"/>
      <c r="J532" s="266"/>
      <c r="K532" s="266"/>
    </row>
    <row r="533" customFormat="false" ht="15.75" hidden="false" customHeight="false" outlineLevel="0" collapsed="false">
      <c r="D533" s="264"/>
      <c r="E533" s="265"/>
      <c r="F533" s="265"/>
      <c r="G533" s="265"/>
      <c r="H533" s="265"/>
      <c r="I533" s="265"/>
      <c r="J533" s="266"/>
      <c r="K533" s="266"/>
    </row>
    <row r="534" customFormat="false" ht="15.75" hidden="false" customHeight="false" outlineLevel="0" collapsed="false">
      <c r="D534" s="264"/>
      <c r="E534" s="265"/>
      <c r="F534" s="265"/>
      <c r="G534" s="265"/>
      <c r="H534" s="265"/>
      <c r="I534" s="265"/>
      <c r="J534" s="266"/>
      <c r="K534" s="266"/>
    </row>
    <row r="535" customFormat="false" ht="15.75" hidden="false" customHeight="false" outlineLevel="0" collapsed="false">
      <c r="D535" s="264"/>
      <c r="E535" s="265"/>
      <c r="F535" s="265"/>
      <c r="G535" s="265"/>
      <c r="H535" s="265"/>
      <c r="I535" s="265"/>
      <c r="J535" s="266"/>
      <c r="K535" s="266"/>
    </row>
    <row r="536" customFormat="false" ht="15.75" hidden="false" customHeight="false" outlineLevel="0" collapsed="false">
      <c r="D536" s="264"/>
      <c r="E536" s="265"/>
      <c r="F536" s="265"/>
      <c r="G536" s="265"/>
      <c r="H536" s="265"/>
      <c r="I536" s="265"/>
      <c r="J536" s="266"/>
      <c r="K536" s="266"/>
    </row>
    <row r="537" customFormat="false" ht="15.75" hidden="false" customHeight="false" outlineLevel="0" collapsed="false">
      <c r="D537" s="264"/>
      <c r="E537" s="265"/>
      <c r="F537" s="265"/>
      <c r="G537" s="265"/>
      <c r="H537" s="265"/>
      <c r="I537" s="265"/>
      <c r="J537" s="266"/>
      <c r="K537" s="266"/>
    </row>
    <row r="538" customFormat="false" ht="15.75" hidden="false" customHeight="false" outlineLevel="0" collapsed="false">
      <c r="D538" s="264"/>
      <c r="E538" s="265"/>
      <c r="F538" s="265"/>
      <c r="G538" s="265"/>
      <c r="H538" s="265"/>
      <c r="I538" s="265"/>
      <c r="J538" s="266"/>
      <c r="K538" s="266"/>
    </row>
    <row r="539" customFormat="false" ht="15.75" hidden="false" customHeight="false" outlineLevel="0" collapsed="false">
      <c r="D539" s="264"/>
      <c r="E539" s="265"/>
      <c r="F539" s="265"/>
      <c r="G539" s="265"/>
      <c r="H539" s="265"/>
      <c r="I539" s="265"/>
      <c r="J539" s="266"/>
      <c r="K539" s="266"/>
    </row>
    <row r="540" customFormat="false" ht="15.75" hidden="false" customHeight="false" outlineLevel="0" collapsed="false">
      <c r="D540" s="264"/>
      <c r="E540" s="265"/>
      <c r="F540" s="265"/>
      <c r="G540" s="265"/>
      <c r="H540" s="265"/>
      <c r="I540" s="265"/>
      <c r="J540" s="266"/>
      <c r="K540" s="266"/>
    </row>
    <row r="541" customFormat="false" ht="15.75" hidden="false" customHeight="false" outlineLevel="0" collapsed="false">
      <c r="D541" s="264"/>
      <c r="E541" s="265"/>
      <c r="F541" s="265"/>
      <c r="G541" s="265"/>
      <c r="H541" s="265"/>
      <c r="I541" s="265"/>
      <c r="J541" s="266"/>
      <c r="K541" s="266"/>
    </row>
    <row r="542" customFormat="false" ht="15.75" hidden="false" customHeight="false" outlineLevel="0" collapsed="false">
      <c r="D542" s="264"/>
      <c r="E542" s="265"/>
      <c r="F542" s="265"/>
      <c r="G542" s="265"/>
      <c r="H542" s="265"/>
      <c r="I542" s="265"/>
      <c r="J542" s="266"/>
      <c r="K542" s="266"/>
    </row>
    <row r="543" customFormat="false" ht="15.75" hidden="false" customHeight="false" outlineLevel="0" collapsed="false">
      <c r="D543" s="264"/>
      <c r="E543" s="265"/>
      <c r="F543" s="265"/>
      <c r="G543" s="265"/>
      <c r="H543" s="265"/>
      <c r="I543" s="265"/>
      <c r="J543" s="266"/>
      <c r="K543" s="266"/>
    </row>
    <row r="544" customFormat="false" ht="15.75" hidden="false" customHeight="false" outlineLevel="0" collapsed="false">
      <c r="D544" s="264"/>
      <c r="E544" s="265"/>
      <c r="F544" s="265"/>
      <c r="G544" s="265"/>
      <c r="H544" s="265"/>
      <c r="I544" s="265"/>
      <c r="J544" s="266"/>
      <c r="K544" s="266"/>
    </row>
    <row r="545" customFormat="false" ht="15.75" hidden="false" customHeight="false" outlineLevel="0" collapsed="false">
      <c r="D545" s="264"/>
      <c r="E545" s="265"/>
      <c r="F545" s="265"/>
      <c r="G545" s="265"/>
      <c r="H545" s="265"/>
      <c r="I545" s="265"/>
      <c r="J545" s="266"/>
      <c r="K545" s="266"/>
    </row>
    <row r="546" customFormat="false" ht="15.75" hidden="false" customHeight="false" outlineLevel="0" collapsed="false">
      <c r="D546" s="264"/>
      <c r="E546" s="265"/>
      <c r="F546" s="265"/>
      <c r="G546" s="265"/>
      <c r="H546" s="265"/>
      <c r="I546" s="265"/>
      <c r="J546" s="266"/>
      <c r="K546" s="266"/>
    </row>
    <row r="547" customFormat="false" ht="15.75" hidden="false" customHeight="false" outlineLevel="0" collapsed="false">
      <c r="D547" s="264"/>
      <c r="E547" s="265"/>
      <c r="F547" s="265"/>
      <c r="G547" s="265"/>
      <c r="H547" s="265"/>
      <c r="I547" s="265"/>
      <c r="J547" s="266"/>
      <c r="K547" s="266"/>
    </row>
    <row r="548" customFormat="false" ht="15.75" hidden="false" customHeight="false" outlineLevel="0" collapsed="false">
      <c r="D548" s="264"/>
      <c r="E548" s="265"/>
      <c r="F548" s="265"/>
      <c r="G548" s="265"/>
      <c r="H548" s="265"/>
      <c r="I548" s="265"/>
      <c r="J548" s="266"/>
      <c r="K548" s="266"/>
    </row>
    <row r="549" customFormat="false" ht="15.75" hidden="false" customHeight="false" outlineLevel="0" collapsed="false">
      <c r="D549" s="264"/>
      <c r="E549" s="265"/>
      <c r="F549" s="265"/>
      <c r="G549" s="265"/>
      <c r="H549" s="265"/>
      <c r="I549" s="265"/>
      <c r="J549" s="266"/>
      <c r="K549" s="266"/>
    </row>
    <row r="550" customFormat="false" ht="15.75" hidden="false" customHeight="false" outlineLevel="0" collapsed="false">
      <c r="D550" s="264"/>
      <c r="E550" s="265"/>
      <c r="F550" s="265"/>
      <c r="G550" s="265"/>
      <c r="H550" s="265"/>
      <c r="I550" s="265"/>
      <c r="J550" s="266"/>
      <c r="K550" s="266"/>
    </row>
    <row r="551" customFormat="false" ht="15.75" hidden="false" customHeight="false" outlineLevel="0" collapsed="false">
      <c r="D551" s="264"/>
      <c r="E551" s="265"/>
      <c r="F551" s="265"/>
      <c r="G551" s="265"/>
      <c r="H551" s="265"/>
      <c r="I551" s="265"/>
      <c r="J551" s="266"/>
      <c r="K551" s="266"/>
    </row>
    <row r="552" customFormat="false" ht="15.75" hidden="false" customHeight="false" outlineLevel="0" collapsed="false">
      <c r="D552" s="264"/>
      <c r="E552" s="265"/>
      <c r="F552" s="265"/>
      <c r="G552" s="265"/>
      <c r="H552" s="265"/>
      <c r="I552" s="265"/>
      <c r="J552" s="266"/>
      <c r="K552" s="266"/>
    </row>
    <row r="553" customFormat="false" ht="15.75" hidden="false" customHeight="false" outlineLevel="0" collapsed="false">
      <c r="D553" s="264"/>
      <c r="E553" s="265"/>
      <c r="F553" s="265"/>
      <c r="G553" s="265"/>
      <c r="H553" s="265"/>
      <c r="I553" s="265"/>
      <c r="J553" s="266"/>
      <c r="K553" s="266"/>
    </row>
    <row r="554" customFormat="false" ht="15.75" hidden="false" customHeight="false" outlineLevel="0" collapsed="false">
      <c r="D554" s="264"/>
      <c r="E554" s="265"/>
      <c r="F554" s="265"/>
      <c r="G554" s="265"/>
      <c r="H554" s="265"/>
      <c r="I554" s="265"/>
      <c r="J554" s="266"/>
      <c r="K554" s="266"/>
    </row>
    <row r="555" customFormat="false" ht="15.75" hidden="false" customHeight="false" outlineLevel="0" collapsed="false">
      <c r="D555" s="264"/>
      <c r="E555" s="265"/>
      <c r="F555" s="265"/>
      <c r="G555" s="265"/>
      <c r="H555" s="265"/>
      <c r="I555" s="265"/>
      <c r="J555" s="266"/>
      <c r="K555" s="266"/>
    </row>
    <row r="556" customFormat="false" ht="15.75" hidden="false" customHeight="false" outlineLevel="0" collapsed="false">
      <c r="D556" s="264"/>
      <c r="E556" s="265"/>
      <c r="F556" s="265"/>
      <c r="G556" s="265"/>
      <c r="H556" s="265"/>
      <c r="I556" s="265"/>
      <c r="J556" s="266"/>
      <c r="K556" s="266"/>
    </row>
    <row r="557" customFormat="false" ht="15.75" hidden="false" customHeight="false" outlineLevel="0" collapsed="false">
      <c r="D557" s="264"/>
      <c r="E557" s="265"/>
      <c r="F557" s="265"/>
      <c r="G557" s="265"/>
      <c r="H557" s="265"/>
      <c r="I557" s="265"/>
      <c r="J557" s="266"/>
      <c r="K557" s="266"/>
    </row>
    <row r="558" customFormat="false" ht="15.75" hidden="false" customHeight="false" outlineLevel="0" collapsed="false">
      <c r="D558" s="264"/>
      <c r="E558" s="265"/>
      <c r="F558" s="265"/>
      <c r="G558" s="265"/>
      <c r="H558" s="265"/>
      <c r="I558" s="265"/>
      <c r="J558" s="266"/>
      <c r="K558" s="266"/>
    </row>
    <row r="559" customFormat="false" ht="15.75" hidden="false" customHeight="false" outlineLevel="0" collapsed="false">
      <c r="D559" s="264"/>
      <c r="E559" s="265"/>
      <c r="F559" s="265"/>
      <c r="G559" s="265"/>
      <c r="H559" s="265"/>
      <c r="I559" s="265"/>
      <c r="J559" s="266"/>
      <c r="K559" s="266"/>
    </row>
    <row r="560" customFormat="false" ht="15.75" hidden="false" customHeight="false" outlineLevel="0" collapsed="false">
      <c r="D560" s="264"/>
      <c r="E560" s="265"/>
      <c r="F560" s="265"/>
      <c r="G560" s="265"/>
      <c r="H560" s="265"/>
      <c r="I560" s="265"/>
      <c r="J560" s="266"/>
      <c r="K560" s="266"/>
    </row>
    <row r="561" customFormat="false" ht="15.75" hidden="false" customHeight="false" outlineLevel="0" collapsed="false">
      <c r="D561" s="264"/>
      <c r="E561" s="265"/>
      <c r="F561" s="265"/>
      <c r="G561" s="265"/>
      <c r="H561" s="265"/>
      <c r="I561" s="265"/>
      <c r="J561" s="266"/>
      <c r="K561" s="266"/>
    </row>
    <row r="562" customFormat="false" ht="15.75" hidden="false" customHeight="false" outlineLevel="0" collapsed="false">
      <c r="D562" s="264"/>
      <c r="E562" s="265"/>
      <c r="F562" s="265"/>
      <c r="G562" s="265"/>
      <c r="H562" s="265"/>
      <c r="I562" s="265"/>
      <c r="J562" s="266"/>
      <c r="K562" s="266"/>
    </row>
    <row r="563" customFormat="false" ht="15.75" hidden="false" customHeight="false" outlineLevel="0" collapsed="false">
      <c r="D563" s="264"/>
      <c r="E563" s="265"/>
      <c r="F563" s="265"/>
      <c r="G563" s="265"/>
      <c r="H563" s="265"/>
      <c r="I563" s="265"/>
      <c r="J563" s="266"/>
      <c r="K563" s="266"/>
    </row>
    <row r="564" customFormat="false" ht="15.75" hidden="false" customHeight="false" outlineLevel="0" collapsed="false">
      <c r="D564" s="264"/>
      <c r="E564" s="265"/>
      <c r="F564" s="265"/>
      <c r="G564" s="265"/>
      <c r="H564" s="265"/>
      <c r="I564" s="265"/>
      <c r="J564" s="266"/>
      <c r="K564" s="266"/>
    </row>
    <row r="565" customFormat="false" ht="15.75" hidden="false" customHeight="false" outlineLevel="0" collapsed="false">
      <c r="D565" s="264"/>
      <c r="E565" s="265"/>
      <c r="F565" s="265"/>
      <c r="G565" s="265"/>
      <c r="H565" s="265"/>
      <c r="I565" s="265"/>
      <c r="J565" s="266"/>
      <c r="K565" s="266"/>
    </row>
    <row r="566" customFormat="false" ht="15.75" hidden="false" customHeight="false" outlineLevel="0" collapsed="false">
      <c r="D566" s="264"/>
      <c r="E566" s="265"/>
      <c r="F566" s="265"/>
      <c r="G566" s="265"/>
      <c r="H566" s="265"/>
      <c r="I566" s="265"/>
      <c r="J566" s="266"/>
      <c r="K566" s="266"/>
    </row>
    <row r="567" customFormat="false" ht="15.75" hidden="false" customHeight="false" outlineLevel="0" collapsed="false">
      <c r="D567" s="264"/>
      <c r="E567" s="265"/>
      <c r="F567" s="265"/>
      <c r="G567" s="265"/>
      <c r="H567" s="265"/>
      <c r="I567" s="265"/>
      <c r="J567" s="266"/>
      <c r="K567" s="266"/>
    </row>
    <row r="568" customFormat="false" ht="15.75" hidden="false" customHeight="false" outlineLevel="0" collapsed="false">
      <c r="D568" s="264"/>
      <c r="E568" s="265"/>
      <c r="F568" s="265"/>
      <c r="G568" s="265"/>
      <c r="H568" s="265"/>
      <c r="I568" s="265"/>
      <c r="J568" s="266"/>
      <c r="K568" s="266"/>
    </row>
    <row r="569" customFormat="false" ht="15.75" hidden="false" customHeight="false" outlineLevel="0" collapsed="false">
      <c r="D569" s="264"/>
      <c r="E569" s="265"/>
      <c r="F569" s="265"/>
      <c r="G569" s="265"/>
      <c r="H569" s="265"/>
      <c r="I569" s="265"/>
      <c r="J569" s="266"/>
      <c r="K569" s="266"/>
    </row>
    <row r="570" customFormat="false" ht="15.75" hidden="false" customHeight="false" outlineLevel="0" collapsed="false">
      <c r="D570" s="264"/>
      <c r="E570" s="265"/>
      <c r="F570" s="265"/>
      <c r="G570" s="265"/>
      <c r="H570" s="265"/>
      <c r="I570" s="265"/>
      <c r="J570" s="266"/>
      <c r="K570" s="266"/>
    </row>
    <row r="571" customFormat="false" ht="15.75" hidden="false" customHeight="false" outlineLevel="0" collapsed="false">
      <c r="D571" s="264"/>
      <c r="E571" s="265"/>
      <c r="F571" s="265"/>
      <c r="G571" s="265"/>
      <c r="H571" s="265"/>
      <c r="I571" s="265"/>
      <c r="J571" s="266"/>
      <c r="K571" s="266"/>
    </row>
    <row r="572" customFormat="false" ht="15.75" hidden="false" customHeight="false" outlineLevel="0" collapsed="false">
      <c r="D572" s="264"/>
      <c r="E572" s="265"/>
      <c r="F572" s="265"/>
      <c r="G572" s="265"/>
      <c r="H572" s="265"/>
      <c r="I572" s="265"/>
      <c r="J572" s="266"/>
      <c r="K572" s="266"/>
    </row>
    <row r="573" customFormat="false" ht="15.75" hidden="false" customHeight="false" outlineLevel="0" collapsed="false">
      <c r="D573" s="264"/>
      <c r="E573" s="265"/>
      <c r="F573" s="265"/>
      <c r="G573" s="265"/>
      <c r="H573" s="265"/>
      <c r="I573" s="265"/>
      <c r="J573" s="266"/>
      <c r="K573" s="266"/>
    </row>
    <row r="574" customFormat="false" ht="15.75" hidden="false" customHeight="false" outlineLevel="0" collapsed="false">
      <c r="D574" s="264"/>
      <c r="E574" s="265"/>
      <c r="F574" s="265"/>
      <c r="G574" s="265"/>
      <c r="H574" s="265"/>
      <c r="I574" s="265"/>
      <c r="J574" s="266"/>
      <c r="K574" s="266"/>
    </row>
    <row r="575" customFormat="false" ht="15.75" hidden="false" customHeight="false" outlineLevel="0" collapsed="false">
      <c r="D575" s="264"/>
      <c r="E575" s="265"/>
      <c r="F575" s="265"/>
      <c r="G575" s="265"/>
      <c r="H575" s="265"/>
      <c r="I575" s="265"/>
      <c r="J575" s="266"/>
      <c r="K575" s="266"/>
    </row>
    <row r="576" customFormat="false" ht="15.75" hidden="false" customHeight="false" outlineLevel="0" collapsed="false">
      <c r="D576" s="264"/>
      <c r="E576" s="265"/>
      <c r="F576" s="265"/>
      <c r="G576" s="265"/>
      <c r="H576" s="265"/>
      <c r="I576" s="265"/>
      <c r="J576" s="266"/>
      <c r="K576" s="266"/>
    </row>
    <row r="577" customFormat="false" ht="15.75" hidden="false" customHeight="false" outlineLevel="0" collapsed="false">
      <c r="D577" s="264"/>
      <c r="E577" s="265"/>
      <c r="F577" s="265"/>
      <c r="G577" s="265"/>
      <c r="H577" s="265"/>
      <c r="I577" s="265"/>
      <c r="J577" s="266"/>
      <c r="K577" s="266"/>
    </row>
    <row r="578" customFormat="false" ht="15.75" hidden="false" customHeight="false" outlineLevel="0" collapsed="false">
      <c r="D578" s="264"/>
      <c r="E578" s="265"/>
      <c r="F578" s="265"/>
      <c r="G578" s="265"/>
      <c r="H578" s="265"/>
      <c r="I578" s="265"/>
      <c r="J578" s="266"/>
      <c r="K578" s="266"/>
    </row>
    <row r="579" customFormat="false" ht="15.75" hidden="false" customHeight="false" outlineLevel="0" collapsed="false">
      <c r="D579" s="264"/>
      <c r="E579" s="265"/>
      <c r="F579" s="265"/>
      <c r="G579" s="265"/>
      <c r="H579" s="265"/>
      <c r="I579" s="265"/>
      <c r="J579" s="266"/>
      <c r="K579" s="266"/>
    </row>
    <row r="580" customFormat="false" ht="15.75" hidden="false" customHeight="false" outlineLevel="0" collapsed="false">
      <c r="D580" s="264"/>
      <c r="E580" s="265"/>
      <c r="F580" s="265"/>
      <c r="G580" s="265"/>
      <c r="H580" s="265"/>
      <c r="I580" s="265"/>
      <c r="J580" s="266"/>
      <c r="K580" s="266"/>
    </row>
    <row r="581" customFormat="false" ht="15.75" hidden="false" customHeight="false" outlineLevel="0" collapsed="false">
      <c r="D581" s="264"/>
      <c r="E581" s="265"/>
      <c r="F581" s="265"/>
      <c r="G581" s="265"/>
      <c r="H581" s="265"/>
      <c r="I581" s="265"/>
      <c r="J581" s="266"/>
      <c r="K581" s="266"/>
    </row>
    <row r="582" customFormat="false" ht="15.75" hidden="false" customHeight="false" outlineLevel="0" collapsed="false">
      <c r="D582" s="264"/>
      <c r="E582" s="265"/>
      <c r="F582" s="265"/>
      <c r="G582" s="265"/>
      <c r="H582" s="265"/>
      <c r="I582" s="265"/>
      <c r="J582" s="266"/>
      <c r="K582" s="266"/>
    </row>
    <row r="583" customFormat="false" ht="15.75" hidden="false" customHeight="false" outlineLevel="0" collapsed="false">
      <c r="D583" s="264"/>
      <c r="E583" s="265"/>
      <c r="F583" s="265"/>
      <c r="G583" s="265"/>
      <c r="H583" s="265"/>
      <c r="I583" s="265"/>
      <c r="J583" s="266"/>
      <c r="K583" s="266"/>
    </row>
    <row r="584" customFormat="false" ht="15.75" hidden="false" customHeight="false" outlineLevel="0" collapsed="false">
      <c r="D584" s="264"/>
      <c r="E584" s="265"/>
      <c r="F584" s="265"/>
      <c r="G584" s="265"/>
      <c r="H584" s="265"/>
      <c r="I584" s="265"/>
      <c r="J584" s="266"/>
      <c r="K584" s="266"/>
    </row>
    <row r="585" customFormat="false" ht="15.75" hidden="false" customHeight="false" outlineLevel="0" collapsed="false">
      <c r="D585" s="264"/>
      <c r="E585" s="265"/>
      <c r="F585" s="265"/>
      <c r="G585" s="265"/>
      <c r="H585" s="265"/>
      <c r="I585" s="265"/>
      <c r="J585" s="266"/>
      <c r="K585" s="266"/>
    </row>
    <row r="586" customFormat="false" ht="15.75" hidden="false" customHeight="false" outlineLevel="0" collapsed="false">
      <c r="D586" s="264"/>
      <c r="E586" s="265"/>
      <c r="F586" s="265"/>
      <c r="G586" s="265"/>
      <c r="H586" s="265"/>
      <c r="I586" s="265"/>
      <c r="J586" s="266"/>
      <c r="K586" s="266"/>
    </row>
    <row r="587" customFormat="false" ht="15.75" hidden="false" customHeight="false" outlineLevel="0" collapsed="false">
      <c r="D587" s="264"/>
      <c r="E587" s="265"/>
      <c r="F587" s="265"/>
      <c r="G587" s="265"/>
      <c r="H587" s="265"/>
      <c r="I587" s="265"/>
      <c r="J587" s="266"/>
      <c r="K587" s="266"/>
    </row>
    <row r="588" customFormat="false" ht="15.75" hidden="false" customHeight="false" outlineLevel="0" collapsed="false">
      <c r="D588" s="264"/>
      <c r="E588" s="265"/>
      <c r="F588" s="265"/>
      <c r="G588" s="265"/>
      <c r="H588" s="265"/>
      <c r="I588" s="265"/>
      <c r="J588" s="266"/>
      <c r="K588" s="266"/>
    </row>
    <row r="589" customFormat="false" ht="15.75" hidden="false" customHeight="false" outlineLevel="0" collapsed="false">
      <c r="D589" s="264"/>
      <c r="E589" s="265"/>
      <c r="F589" s="265"/>
      <c r="G589" s="265"/>
      <c r="H589" s="265"/>
      <c r="I589" s="265"/>
      <c r="J589" s="266"/>
      <c r="K589" s="266"/>
    </row>
    <row r="590" customFormat="false" ht="15.75" hidden="false" customHeight="false" outlineLevel="0" collapsed="false">
      <c r="D590" s="264"/>
      <c r="E590" s="265"/>
      <c r="F590" s="265"/>
      <c r="G590" s="265"/>
      <c r="H590" s="265"/>
      <c r="I590" s="265"/>
      <c r="J590" s="266"/>
      <c r="K590" s="266"/>
    </row>
    <row r="591" customFormat="false" ht="15.75" hidden="false" customHeight="false" outlineLevel="0" collapsed="false">
      <c r="D591" s="264"/>
      <c r="E591" s="265"/>
      <c r="F591" s="265"/>
      <c r="G591" s="265"/>
      <c r="H591" s="265"/>
      <c r="I591" s="265"/>
      <c r="J591" s="266"/>
      <c r="K591" s="266"/>
    </row>
    <row r="592" customFormat="false" ht="15.75" hidden="false" customHeight="false" outlineLevel="0" collapsed="false">
      <c r="D592" s="264"/>
      <c r="E592" s="265"/>
      <c r="F592" s="265"/>
      <c r="G592" s="265"/>
      <c r="H592" s="265"/>
      <c r="I592" s="265"/>
      <c r="J592" s="266"/>
      <c r="K592" s="266"/>
    </row>
    <row r="593" customFormat="false" ht="15.75" hidden="false" customHeight="false" outlineLevel="0" collapsed="false">
      <c r="D593" s="264"/>
      <c r="E593" s="265"/>
      <c r="F593" s="265"/>
      <c r="G593" s="265"/>
      <c r="H593" s="265"/>
      <c r="I593" s="265"/>
      <c r="J593" s="266"/>
      <c r="K593" s="266"/>
    </row>
    <row r="594" customFormat="false" ht="15.75" hidden="false" customHeight="false" outlineLevel="0" collapsed="false">
      <c r="D594" s="264"/>
      <c r="E594" s="265"/>
      <c r="F594" s="265"/>
      <c r="G594" s="265"/>
      <c r="H594" s="265"/>
      <c r="I594" s="265"/>
      <c r="J594" s="266"/>
      <c r="K594" s="266"/>
    </row>
    <row r="595" customFormat="false" ht="15.75" hidden="false" customHeight="false" outlineLevel="0" collapsed="false">
      <c r="D595" s="264"/>
      <c r="E595" s="265"/>
      <c r="F595" s="265"/>
      <c r="G595" s="265"/>
      <c r="H595" s="265"/>
      <c r="I595" s="265"/>
      <c r="J595" s="266"/>
      <c r="K595" s="266"/>
    </row>
    <row r="596" customFormat="false" ht="15.75" hidden="false" customHeight="false" outlineLevel="0" collapsed="false">
      <c r="D596" s="264"/>
      <c r="E596" s="265"/>
      <c r="F596" s="265"/>
      <c r="G596" s="265"/>
      <c r="H596" s="265"/>
      <c r="I596" s="265"/>
      <c r="J596" s="266"/>
      <c r="K596" s="266"/>
    </row>
    <row r="597" customFormat="false" ht="15.75" hidden="false" customHeight="false" outlineLevel="0" collapsed="false">
      <c r="D597" s="264"/>
      <c r="E597" s="265"/>
      <c r="F597" s="265"/>
      <c r="G597" s="265"/>
      <c r="H597" s="265"/>
      <c r="I597" s="265"/>
      <c r="J597" s="266"/>
      <c r="K597" s="266"/>
    </row>
    <row r="598" customFormat="false" ht="15.75" hidden="false" customHeight="false" outlineLevel="0" collapsed="false">
      <c r="D598" s="264"/>
      <c r="E598" s="265"/>
      <c r="F598" s="265"/>
      <c r="G598" s="265"/>
      <c r="H598" s="265"/>
      <c r="I598" s="265"/>
      <c r="J598" s="266"/>
      <c r="K598" s="266"/>
    </row>
    <row r="599" customFormat="false" ht="15.75" hidden="false" customHeight="false" outlineLevel="0" collapsed="false">
      <c r="D599" s="264"/>
      <c r="E599" s="265"/>
      <c r="F599" s="265"/>
      <c r="G599" s="265"/>
      <c r="H599" s="265"/>
      <c r="I599" s="265"/>
      <c r="J599" s="266"/>
      <c r="K599" s="266"/>
    </row>
    <row r="600" customFormat="false" ht="15.75" hidden="false" customHeight="false" outlineLevel="0" collapsed="false">
      <c r="D600" s="264"/>
      <c r="E600" s="265"/>
      <c r="F600" s="265"/>
      <c r="G600" s="265"/>
      <c r="H600" s="265"/>
      <c r="I600" s="265"/>
      <c r="J600" s="266"/>
      <c r="K600" s="266"/>
    </row>
    <row r="601" customFormat="false" ht="15.75" hidden="false" customHeight="false" outlineLevel="0" collapsed="false">
      <c r="D601" s="264"/>
      <c r="E601" s="265"/>
      <c r="F601" s="265"/>
      <c r="G601" s="265"/>
      <c r="H601" s="265"/>
      <c r="I601" s="265"/>
      <c r="J601" s="266"/>
      <c r="K601" s="266"/>
    </row>
    <row r="602" customFormat="false" ht="15.75" hidden="false" customHeight="false" outlineLevel="0" collapsed="false">
      <c r="D602" s="264"/>
      <c r="E602" s="265"/>
      <c r="F602" s="265"/>
      <c r="G602" s="265"/>
      <c r="H602" s="265"/>
      <c r="I602" s="265"/>
      <c r="J602" s="266"/>
      <c r="K602" s="266"/>
    </row>
    <row r="603" customFormat="false" ht="15.75" hidden="false" customHeight="false" outlineLevel="0" collapsed="false">
      <c r="D603" s="264"/>
      <c r="E603" s="265"/>
      <c r="F603" s="265"/>
      <c r="G603" s="265"/>
      <c r="H603" s="265"/>
      <c r="I603" s="265"/>
      <c r="J603" s="266"/>
      <c r="K603" s="266"/>
    </row>
    <row r="604" customFormat="false" ht="15.75" hidden="false" customHeight="false" outlineLevel="0" collapsed="false">
      <c r="D604" s="264"/>
      <c r="E604" s="265"/>
      <c r="F604" s="265"/>
      <c r="G604" s="265"/>
      <c r="H604" s="265"/>
      <c r="I604" s="265"/>
      <c r="J604" s="266"/>
      <c r="K604" s="266"/>
    </row>
    <row r="605" customFormat="false" ht="15.75" hidden="false" customHeight="false" outlineLevel="0" collapsed="false">
      <c r="D605" s="264"/>
      <c r="E605" s="265"/>
      <c r="F605" s="265"/>
      <c r="G605" s="265"/>
      <c r="H605" s="265"/>
      <c r="I605" s="265"/>
      <c r="J605" s="266"/>
      <c r="K605" s="266"/>
    </row>
    <row r="606" customFormat="false" ht="15.75" hidden="false" customHeight="false" outlineLevel="0" collapsed="false">
      <c r="D606" s="264"/>
      <c r="E606" s="265"/>
      <c r="F606" s="265"/>
      <c r="G606" s="265"/>
      <c r="H606" s="265"/>
      <c r="I606" s="265"/>
      <c r="J606" s="266"/>
      <c r="K606" s="266"/>
    </row>
    <row r="607" customFormat="false" ht="15.75" hidden="false" customHeight="false" outlineLevel="0" collapsed="false">
      <c r="D607" s="264"/>
      <c r="E607" s="265"/>
      <c r="F607" s="265"/>
      <c r="G607" s="265"/>
      <c r="H607" s="265"/>
      <c r="I607" s="265"/>
      <c r="J607" s="266"/>
      <c r="K607" s="266"/>
    </row>
    <row r="608" customFormat="false" ht="15.75" hidden="false" customHeight="false" outlineLevel="0" collapsed="false">
      <c r="D608" s="264"/>
      <c r="E608" s="265"/>
      <c r="F608" s="265"/>
      <c r="G608" s="265"/>
      <c r="H608" s="265"/>
      <c r="I608" s="265"/>
      <c r="J608" s="266"/>
      <c r="K608" s="266"/>
    </row>
    <row r="609" customFormat="false" ht="15.75" hidden="false" customHeight="false" outlineLevel="0" collapsed="false">
      <c r="D609" s="264"/>
      <c r="E609" s="265"/>
      <c r="F609" s="265"/>
      <c r="G609" s="265"/>
      <c r="H609" s="265"/>
      <c r="I609" s="265"/>
      <c r="J609" s="266"/>
      <c r="K609" s="266"/>
    </row>
    <row r="610" customFormat="false" ht="15.75" hidden="false" customHeight="false" outlineLevel="0" collapsed="false">
      <c r="D610" s="264"/>
      <c r="E610" s="265"/>
      <c r="F610" s="265"/>
      <c r="G610" s="265"/>
      <c r="H610" s="265"/>
      <c r="I610" s="265"/>
      <c r="J610" s="266"/>
      <c r="K610" s="266"/>
    </row>
    <row r="611" customFormat="false" ht="15.75" hidden="false" customHeight="false" outlineLevel="0" collapsed="false">
      <c r="D611" s="264"/>
      <c r="E611" s="265"/>
      <c r="F611" s="265"/>
      <c r="G611" s="265"/>
      <c r="H611" s="265"/>
      <c r="I611" s="265"/>
      <c r="J611" s="266"/>
      <c r="K611" s="266"/>
    </row>
    <row r="612" customFormat="false" ht="15.75" hidden="false" customHeight="false" outlineLevel="0" collapsed="false">
      <c r="D612" s="264"/>
      <c r="E612" s="265"/>
      <c r="F612" s="265"/>
      <c r="G612" s="265"/>
      <c r="H612" s="265"/>
      <c r="I612" s="265"/>
      <c r="J612" s="266"/>
      <c r="K612" s="266"/>
    </row>
    <row r="613" customFormat="false" ht="15.75" hidden="false" customHeight="false" outlineLevel="0" collapsed="false">
      <c r="D613" s="264"/>
      <c r="E613" s="265"/>
      <c r="F613" s="265"/>
      <c r="G613" s="265"/>
      <c r="H613" s="265"/>
      <c r="I613" s="265"/>
      <c r="J613" s="266"/>
      <c r="K613" s="266"/>
    </row>
    <row r="614" customFormat="false" ht="15.75" hidden="false" customHeight="false" outlineLevel="0" collapsed="false">
      <c r="D614" s="264"/>
      <c r="E614" s="265"/>
      <c r="F614" s="265"/>
      <c r="G614" s="265"/>
      <c r="H614" s="265"/>
      <c r="I614" s="265"/>
      <c r="J614" s="266"/>
      <c r="K614" s="266"/>
    </row>
    <row r="615" customFormat="false" ht="15.75" hidden="false" customHeight="false" outlineLevel="0" collapsed="false">
      <c r="D615" s="264"/>
      <c r="E615" s="265"/>
      <c r="F615" s="265"/>
      <c r="G615" s="265"/>
      <c r="H615" s="265"/>
      <c r="I615" s="265"/>
      <c r="J615" s="266"/>
      <c r="K615" s="266"/>
    </row>
    <row r="616" customFormat="false" ht="15.75" hidden="false" customHeight="false" outlineLevel="0" collapsed="false">
      <c r="D616" s="264"/>
      <c r="E616" s="265"/>
      <c r="F616" s="265"/>
      <c r="G616" s="265"/>
      <c r="H616" s="265"/>
      <c r="I616" s="265"/>
      <c r="J616" s="266"/>
      <c r="K616" s="266"/>
    </row>
    <row r="617" customFormat="false" ht="15.75" hidden="false" customHeight="false" outlineLevel="0" collapsed="false">
      <c r="D617" s="264"/>
      <c r="E617" s="265"/>
      <c r="F617" s="265"/>
      <c r="G617" s="265"/>
      <c r="H617" s="265"/>
      <c r="I617" s="265"/>
      <c r="J617" s="266"/>
      <c r="K617" s="266"/>
    </row>
    <row r="618" customFormat="false" ht="15.75" hidden="false" customHeight="false" outlineLevel="0" collapsed="false">
      <c r="D618" s="264"/>
      <c r="E618" s="265"/>
      <c r="F618" s="265"/>
      <c r="G618" s="265"/>
      <c r="H618" s="265"/>
      <c r="I618" s="265"/>
      <c r="J618" s="266"/>
      <c r="K618" s="266"/>
    </row>
    <row r="619" customFormat="false" ht="15.75" hidden="false" customHeight="false" outlineLevel="0" collapsed="false">
      <c r="D619" s="264"/>
      <c r="E619" s="265"/>
      <c r="F619" s="265"/>
      <c r="G619" s="265"/>
      <c r="H619" s="265"/>
      <c r="I619" s="265"/>
      <c r="J619" s="266"/>
      <c r="K619" s="266"/>
    </row>
    <row r="620" customFormat="false" ht="15.75" hidden="false" customHeight="false" outlineLevel="0" collapsed="false">
      <c r="D620" s="264"/>
      <c r="E620" s="265"/>
      <c r="F620" s="265"/>
      <c r="G620" s="265"/>
      <c r="H620" s="265"/>
      <c r="I620" s="265"/>
      <c r="J620" s="266"/>
      <c r="K620" s="266"/>
    </row>
    <row r="621" customFormat="false" ht="15.75" hidden="false" customHeight="false" outlineLevel="0" collapsed="false">
      <c r="D621" s="264"/>
      <c r="E621" s="265"/>
      <c r="F621" s="265"/>
      <c r="G621" s="265"/>
      <c r="H621" s="265"/>
      <c r="I621" s="265"/>
      <c r="J621" s="266"/>
      <c r="K621" s="266"/>
    </row>
    <row r="622" customFormat="false" ht="15.75" hidden="false" customHeight="false" outlineLevel="0" collapsed="false">
      <c r="D622" s="264"/>
      <c r="E622" s="265"/>
      <c r="F622" s="265"/>
      <c r="G622" s="265"/>
      <c r="H622" s="265"/>
      <c r="I622" s="265"/>
      <c r="J622" s="266"/>
      <c r="K622" s="266"/>
    </row>
    <row r="623" customFormat="false" ht="15.75" hidden="false" customHeight="false" outlineLevel="0" collapsed="false">
      <c r="D623" s="264"/>
      <c r="E623" s="265"/>
      <c r="F623" s="265"/>
      <c r="G623" s="265"/>
      <c r="H623" s="265"/>
      <c r="I623" s="265"/>
      <c r="J623" s="266"/>
      <c r="K623" s="266"/>
    </row>
    <row r="624" customFormat="false" ht="15.75" hidden="false" customHeight="false" outlineLevel="0" collapsed="false">
      <c r="D624" s="264"/>
      <c r="E624" s="265"/>
      <c r="F624" s="265"/>
      <c r="G624" s="265"/>
      <c r="H624" s="265"/>
      <c r="I624" s="265"/>
      <c r="J624" s="266"/>
      <c r="K624" s="266"/>
    </row>
    <row r="625" customFormat="false" ht="15.75" hidden="false" customHeight="false" outlineLevel="0" collapsed="false">
      <c r="D625" s="264"/>
      <c r="E625" s="265"/>
      <c r="F625" s="265"/>
      <c r="G625" s="265"/>
      <c r="H625" s="265"/>
      <c r="I625" s="265"/>
      <c r="J625" s="266"/>
      <c r="K625" s="266"/>
    </row>
    <row r="626" customFormat="false" ht="15.75" hidden="false" customHeight="false" outlineLevel="0" collapsed="false">
      <c r="D626" s="264"/>
      <c r="E626" s="265"/>
      <c r="F626" s="265"/>
      <c r="G626" s="265"/>
      <c r="H626" s="265"/>
      <c r="I626" s="265"/>
      <c r="J626" s="266"/>
      <c r="K626" s="266"/>
    </row>
    <row r="627" customFormat="false" ht="15.75" hidden="false" customHeight="false" outlineLevel="0" collapsed="false">
      <c r="D627" s="264"/>
      <c r="E627" s="265"/>
      <c r="F627" s="265"/>
      <c r="G627" s="265"/>
      <c r="H627" s="265"/>
      <c r="I627" s="265"/>
      <c r="J627" s="266"/>
      <c r="K627" s="266"/>
    </row>
    <row r="628" customFormat="false" ht="15.75" hidden="false" customHeight="false" outlineLevel="0" collapsed="false">
      <c r="D628" s="264"/>
      <c r="E628" s="265"/>
      <c r="F628" s="265"/>
      <c r="G628" s="265"/>
      <c r="H628" s="265"/>
      <c r="I628" s="265"/>
      <c r="J628" s="266"/>
      <c r="K628" s="266"/>
    </row>
    <row r="629" customFormat="false" ht="15.75" hidden="false" customHeight="false" outlineLevel="0" collapsed="false">
      <c r="D629" s="264"/>
      <c r="E629" s="265"/>
      <c r="F629" s="265"/>
      <c r="G629" s="265"/>
      <c r="H629" s="265"/>
      <c r="I629" s="265"/>
      <c r="J629" s="266"/>
      <c r="K629" s="266"/>
    </row>
    <row r="630" customFormat="false" ht="15.75" hidden="false" customHeight="false" outlineLevel="0" collapsed="false">
      <c r="D630" s="264"/>
      <c r="E630" s="265"/>
      <c r="F630" s="265"/>
      <c r="G630" s="265"/>
      <c r="H630" s="265"/>
      <c r="I630" s="265"/>
      <c r="J630" s="266"/>
      <c r="K630" s="266"/>
    </row>
    <row r="631" customFormat="false" ht="15.75" hidden="false" customHeight="false" outlineLevel="0" collapsed="false">
      <c r="D631" s="264"/>
      <c r="E631" s="265"/>
      <c r="F631" s="265"/>
      <c r="G631" s="265"/>
      <c r="H631" s="265"/>
      <c r="I631" s="265"/>
      <c r="J631" s="266"/>
      <c r="K631" s="266"/>
    </row>
    <row r="632" customFormat="false" ht="15.75" hidden="false" customHeight="false" outlineLevel="0" collapsed="false">
      <c r="D632" s="264"/>
      <c r="E632" s="265"/>
      <c r="F632" s="265"/>
      <c r="G632" s="265"/>
      <c r="H632" s="265"/>
      <c r="I632" s="265"/>
      <c r="J632" s="266"/>
      <c r="K632" s="266"/>
    </row>
    <row r="633" customFormat="false" ht="15.75" hidden="false" customHeight="false" outlineLevel="0" collapsed="false">
      <c r="D633" s="264"/>
      <c r="E633" s="265"/>
      <c r="F633" s="265"/>
      <c r="G633" s="265"/>
      <c r="H633" s="265"/>
      <c r="I633" s="265"/>
      <c r="J633" s="266"/>
      <c r="K633" s="266"/>
    </row>
    <row r="634" customFormat="false" ht="15.75" hidden="false" customHeight="false" outlineLevel="0" collapsed="false">
      <c r="D634" s="264"/>
      <c r="E634" s="265"/>
      <c r="F634" s="265"/>
      <c r="G634" s="265"/>
      <c r="H634" s="265"/>
      <c r="I634" s="265"/>
      <c r="J634" s="266"/>
      <c r="K634" s="266"/>
    </row>
    <row r="635" customFormat="false" ht="15.75" hidden="false" customHeight="false" outlineLevel="0" collapsed="false">
      <c r="D635" s="264"/>
      <c r="E635" s="265"/>
      <c r="F635" s="265"/>
      <c r="G635" s="265"/>
      <c r="H635" s="265"/>
      <c r="I635" s="265"/>
      <c r="J635" s="266"/>
      <c r="K635" s="266"/>
    </row>
    <row r="636" customFormat="false" ht="15.75" hidden="false" customHeight="false" outlineLevel="0" collapsed="false">
      <c r="D636" s="264"/>
      <c r="E636" s="265"/>
      <c r="F636" s="265"/>
      <c r="G636" s="265"/>
      <c r="H636" s="265"/>
      <c r="I636" s="265"/>
      <c r="J636" s="266"/>
      <c r="K636" s="266"/>
    </row>
    <row r="637" customFormat="false" ht="15.75" hidden="false" customHeight="false" outlineLevel="0" collapsed="false">
      <c r="D637" s="264"/>
      <c r="E637" s="265"/>
      <c r="F637" s="265"/>
      <c r="G637" s="265"/>
      <c r="H637" s="265"/>
      <c r="I637" s="265"/>
      <c r="J637" s="266"/>
      <c r="K637" s="266"/>
    </row>
    <row r="638" customFormat="false" ht="15.75" hidden="false" customHeight="false" outlineLevel="0" collapsed="false">
      <c r="D638" s="264"/>
      <c r="E638" s="265"/>
      <c r="F638" s="265"/>
      <c r="G638" s="265"/>
      <c r="H638" s="265"/>
      <c r="I638" s="265"/>
      <c r="J638" s="266"/>
      <c r="K638" s="266"/>
    </row>
    <row r="639" customFormat="false" ht="15.75" hidden="false" customHeight="false" outlineLevel="0" collapsed="false">
      <c r="D639" s="264"/>
      <c r="E639" s="265"/>
      <c r="F639" s="265"/>
      <c r="G639" s="265"/>
      <c r="H639" s="265"/>
      <c r="I639" s="265"/>
      <c r="J639" s="266"/>
      <c r="K639" s="266"/>
    </row>
    <row r="640" customFormat="false" ht="15.75" hidden="false" customHeight="false" outlineLevel="0" collapsed="false">
      <c r="D640" s="264"/>
      <c r="E640" s="265"/>
      <c r="F640" s="265"/>
      <c r="G640" s="265"/>
      <c r="H640" s="265"/>
      <c r="I640" s="265"/>
      <c r="J640" s="266"/>
      <c r="K640" s="266"/>
    </row>
    <row r="641" customFormat="false" ht="15.75" hidden="false" customHeight="false" outlineLevel="0" collapsed="false">
      <c r="D641" s="264"/>
      <c r="E641" s="265"/>
      <c r="F641" s="265"/>
      <c r="G641" s="265"/>
      <c r="H641" s="265"/>
      <c r="I641" s="265"/>
      <c r="J641" s="266"/>
      <c r="K641" s="266"/>
    </row>
    <row r="642" customFormat="false" ht="15.75" hidden="false" customHeight="false" outlineLevel="0" collapsed="false">
      <c r="D642" s="264"/>
      <c r="E642" s="265"/>
      <c r="F642" s="265"/>
      <c r="G642" s="265"/>
      <c r="H642" s="265"/>
      <c r="I642" s="265"/>
      <c r="J642" s="266"/>
      <c r="K642" s="266"/>
    </row>
    <row r="643" customFormat="false" ht="15.75" hidden="false" customHeight="false" outlineLevel="0" collapsed="false">
      <c r="D643" s="264"/>
      <c r="E643" s="265"/>
      <c r="F643" s="265"/>
      <c r="G643" s="265"/>
      <c r="H643" s="265"/>
      <c r="I643" s="265"/>
      <c r="J643" s="266"/>
      <c r="K643" s="266"/>
    </row>
    <row r="644" customFormat="false" ht="15.75" hidden="false" customHeight="false" outlineLevel="0" collapsed="false">
      <c r="D644" s="264"/>
      <c r="E644" s="265"/>
      <c r="F644" s="265"/>
      <c r="G644" s="265"/>
      <c r="H644" s="265"/>
      <c r="I644" s="265"/>
      <c r="J644" s="266"/>
      <c r="K644" s="266"/>
    </row>
    <row r="645" customFormat="false" ht="15.75" hidden="false" customHeight="false" outlineLevel="0" collapsed="false">
      <c r="D645" s="264"/>
      <c r="E645" s="265"/>
      <c r="F645" s="265"/>
      <c r="G645" s="265"/>
      <c r="H645" s="265"/>
      <c r="I645" s="265"/>
      <c r="J645" s="266"/>
      <c r="K645" s="266"/>
    </row>
    <row r="646" customFormat="false" ht="15.75" hidden="false" customHeight="false" outlineLevel="0" collapsed="false">
      <c r="D646" s="264"/>
      <c r="E646" s="265"/>
      <c r="F646" s="265"/>
      <c r="G646" s="265"/>
      <c r="H646" s="265"/>
      <c r="I646" s="265"/>
      <c r="J646" s="266"/>
      <c r="K646" s="266"/>
    </row>
    <row r="647" customFormat="false" ht="15.75" hidden="false" customHeight="false" outlineLevel="0" collapsed="false">
      <c r="D647" s="264"/>
      <c r="E647" s="265"/>
      <c r="F647" s="265"/>
      <c r="G647" s="265"/>
      <c r="H647" s="265"/>
      <c r="I647" s="265"/>
      <c r="J647" s="266"/>
      <c r="K647" s="266"/>
    </row>
    <row r="648" customFormat="false" ht="15.75" hidden="false" customHeight="false" outlineLevel="0" collapsed="false">
      <c r="D648" s="264"/>
      <c r="E648" s="265"/>
      <c r="F648" s="265"/>
      <c r="G648" s="265"/>
      <c r="H648" s="265"/>
      <c r="I648" s="265"/>
      <c r="J648" s="266"/>
      <c r="K648" s="266"/>
    </row>
    <row r="649" customFormat="false" ht="15.75" hidden="false" customHeight="false" outlineLevel="0" collapsed="false">
      <c r="D649" s="264"/>
      <c r="E649" s="265"/>
      <c r="F649" s="265"/>
      <c r="G649" s="265"/>
      <c r="H649" s="265"/>
      <c r="I649" s="265"/>
      <c r="J649" s="266"/>
      <c r="K649" s="266"/>
    </row>
    <row r="650" customFormat="false" ht="15.75" hidden="false" customHeight="false" outlineLevel="0" collapsed="false">
      <c r="D650" s="264"/>
      <c r="E650" s="265"/>
      <c r="F650" s="265"/>
      <c r="G650" s="265"/>
      <c r="H650" s="265"/>
      <c r="I650" s="265"/>
      <c r="J650" s="266"/>
      <c r="K650" s="266"/>
    </row>
    <row r="651" customFormat="false" ht="15.75" hidden="false" customHeight="false" outlineLevel="0" collapsed="false">
      <c r="D651" s="264"/>
      <c r="E651" s="265"/>
      <c r="F651" s="265"/>
      <c r="G651" s="265"/>
      <c r="H651" s="265"/>
      <c r="I651" s="265"/>
      <c r="J651" s="266"/>
      <c r="K651" s="266"/>
    </row>
    <row r="652" customFormat="false" ht="15.75" hidden="false" customHeight="false" outlineLevel="0" collapsed="false">
      <c r="D652" s="264"/>
      <c r="E652" s="265"/>
      <c r="F652" s="265"/>
      <c r="G652" s="265"/>
      <c r="H652" s="265"/>
      <c r="I652" s="265"/>
      <c r="J652" s="266"/>
      <c r="K652" s="266"/>
    </row>
    <row r="653" customFormat="false" ht="15.75" hidden="false" customHeight="false" outlineLevel="0" collapsed="false">
      <c r="D653" s="264"/>
      <c r="E653" s="265"/>
      <c r="F653" s="265"/>
      <c r="G653" s="265"/>
      <c r="H653" s="265"/>
      <c r="I653" s="265"/>
      <c r="J653" s="266"/>
      <c r="K653" s="266"/>
    </row>
    <row r="654" customFormat="false" ht="15.75" hidden="false" customHeight="false" outlineLevel="0" collapsed="false">
      <c r="D654" s="264"/>
      <c r="E654" s="265"/>
      <c r="F654" s="265"/>
      <c r="G654" s="265"/>
      <c r="H654" s="265"/>
      <c r="I654" s="265"/>
      <c r="J654" s="266"/>
      <c r="K654" s="266"/>
    </row>
    <row r="655" customFormat="false" ht="15.75" hidden="false" customHeight="false" outlineLevel="0" collapsed="false">
      <c r="D655" s="264"/>
      <c r="E655" s="265"/>
      <c r="F655" s="265"/>
      <c r="G655" s="265"/>
      <c r="H655" s="265"/>
      <c r="I655" s="265"/>
      <c r="J655" s="266"/>
      <c r="K655" s="266"/>
    </row>
    <row r="656" customFormat="false" ht="15.75" hidden="false" customHeight="false" outlineLevel="0" collapsed="false">
      <c r="D656" s="264"/>
      <c r="E656" s="265"/>
      <c r="F656" s="265"/>
      <c r="G656" s="265"/>
      <c r="H656" s="265"/>
      <c r="I656" s="265"/>
      <c r="J656" s="266"/>
      <c r="K656" s="266"/>
    </row>
    <row r="657" customFormat="false" ht="15.75" hidden="false" customHeight="false" outlineLevel="0" collapsed="false">
      <c r="D657" s="264"/>
      <c r="E657" s="265"/>
      <c r="F657" s="265"/>
      <c r="G657" s="265"/>
      <c r="H657" s="265"/>
      <c r="I657" s="265"/>
      <c r="J657" s="266"/>
      <c r="K657" s="266"/>
    </row>
    <row r="658" customFormat="false" ht="15.75" hidden="false" customHeight="false" outlineLevel="0" collapsed="false">
      <c r="D658" s="264"/>
      <c r="E658" s="265"/>
      <c r="F658" s="265"/>
      <c r="G658" s="265"/>
      <c r="H658" s="265"/>
      <c r="I658" s="265"/>
      <c r="J658" s="266"/>
      <c r="K658" s="266"/>
    </row>
    <row r="659" customFormat="false" ht="15.75" hidden="false" customHeight="false" outlineLevel="0" collapsed="false">
      <c r="D659" s="264"/>
      <c r="E659" s="265"/>
      <c r="F659" s="265"/>
      <c r="G659" s="265"/>
      <c r="H659" s="265"/>
      <c r="I659" s="265"/>
      <c r="J659" s="266"/>
      <c r="K659" s="266"/>
    </row>
    <row r="660" customFormat="false" ht="15.75" hidden="false" customHeight="false" outlineLevel="0" collapsed="false">
      <c r="D660" s="264"/>
      <c r="E660" s="265"/>
      <c r="F660" s="265"/>
      <c r="G660" s="265"/>
      <c r="H660" s="265"/>
      <c r="I660" s="265"/>
      <c r="J660" s="266"/>
      <c r="K660" s="266"/>
    </row>
    <row r="661" customFormat="false" ht="15.75" hidden="false" customHeight="false" outlineLevel="0" collapsed="false">
      <c r="D661" s="264"/>
      <c r="E661" s="265"/>
      <c r="F661" s="265"/>
      <c r="G661" s="265"/>
      <c r="H661" s="265"/>
      <c r="I661" s="265"/>
      <c r="J661" s="266"/>
      <c r="K661" s="266"/>
    </row>
    <row r="662" customFormat="false" ht="15.75" hidden="false" customHeight="false" outlineLevel="0" collapsed="false">
      <c r="D662" s="264"/>
      <c r="E662" s="265"/>
      <c r="F662" s="265"/>
      <c r="G662" s="265"/>
      <c r="H662" s="265"/>
      <c r="I662" s="265"/>
      <c r="J662" s="266"/>
      <c r="K662" s="266"/>
    </row>
    <row r="663" customFormat="false" ht="15.75" hidden="false" customHeight="false" outlineLevel="0" collapsed="false">
      <c r="D663" s="264"/>
      <c r="E663" s="265"/>
      <c r="F663" s="265"/>
      <c r="G663" s="265"/>
      <c r="H663" s="265"/>
      <c r="I663" s="265"/>
      <c r="J663" s="266"/>
      <c r="K663" s="266"/>
    </row>
    <row r="664" customFormat="false" ht="15.75" hidden="false" customHeight="false" outlineLevel="0" collapsed="false">
      <c r="D664" s="264"/>
      <c r="E664" s="265"/>
      <c r="F664" s="265"/>
      <c r="G664" s="265"/>
      <c r="H664" s="265"/>
      <c r="I664" s="265"/>
      <c r="J664" s="266"/>
      <c r="K664" s="266"/>
    </row>
    <row r="665" customFormat="false" ht="15.75" hidden="false" customHeight="false" outlineLevel="0" collapsed="false">
      <c r="D665" s="264"/>
      <c r="E665" s="265"/>
      <c r="F665" s="265"/>
      <c r="G665" s="265"/>
      <c r="H665" s="265"/>
      <c r="I665" s="265"/>
      <c r="J665" s="266"/>
      <c r="K665" s="266"/>
    </row>
    <row r="666" customFormat="false" ht="15.75" hidden="false" customHeight="false" outlineLevel="0" collapsed="false">
      <c r="D666" s="264"/>
      <c r="E666" s="265"/>
      <c r="F666" s="265"/>
      <c r="G666" s="265"/>
      <c r="H666" s="265"/>
      <c r="I666" s="265"/>
      <c r="J666" s="266"/>
      <c r="K666" s="266"/>
    </row>
    <row r="667" customFormat="false" ht="15.75" hidden="false" customHeight="false" outlineLevel="0" collapsed="false">
      <c r="D667" s="264"/>
      <c r="E667" s="265"/>
      <c r="F667" s="265"/>
      <c r="G667" s="265"/>
      <c r="H667" s="265"/>
      <c r="I667" s="265"/>
      <c r="J667" s="266"/>
      <c r="K667" s="266"/>
    </row>
    <row r="668" customFormat="false" ht="15.75" hidden="false" customHeight="false" outlineLevel="0" collapsed="false">
      <c r="D668" s="264"/>
      <c r="E668" s="265"/>
      <c r="F668" s="265"/>
      <c r="G668" s="265"/>
      <c r="H668" s="265"/>
      <c r="I668" s="265"/>
      <c r="J668" s="266"/>
      <c r="K668" s="266"/>
    </row>
    <row r="669" customFormat="false" ht="15.75" hidden="false" customHeight="false" outlineLevel="0" collapsed="false">
      <c r="D669" s="264"/>
      <c r="E669" s="265"/>
      <c r="F669" s="265"/>
      <c r="G669" s="265"/>
      <c r="H669" s="265"/>
      <c r="I669" s="265"/>
      <c r="J669" s="266"/>
      <c r="K669" s="266"/>
    </row>
    <row r="670" customFormat="false" ht="15.75" hidden="false" customHeight="false" outlineLevel="0" collapsed="false">
      <c r="D670" s="264"/>
      <c r="E670" s="265"/>
      <c r="F670" s="265"/>
      <c r="G670" s="265"/>
      <c r="H670" s="265"/>
      <c r="I670" s="265"/>
      <c r="J670" s="266"/>
      <c r="K670" s="266"/>
    </row>
    <row r="671" customFormat="false" ht="15.75" hidden="false" customHeight="false" outlineLevel="0" collapsed="false">
      <c r="D671" s="264"/>
      <c r="E671" s="265"/>
      <c r="F671" s="265"/>
      <c r="G671" s="265"/>
      <c r="H671" s="265"/>
      <c r="I671" s="265"/>
      <c r="J671" s="266"/>
      <c r="K671" s="266"/>
    </row>
    <row r="672" customFormat="false" ht="15.75" hidden="false" customHeight="false" outlineLevel="0" collapsed="false">
      <c r="D672" s="264"/>
      <c r="E672" s="265"/>
      <c r="F672" s="265"/>
      <c r="G672" s="265"/>
      <c r="H672" s="265"/>
      <c r="I672" s="265"/>
      <c r="J672" s="266"/>
      <c r="K672" s="266"/>
    </row>
    <row r="673" customFormat="false" ht="15.75" hidden="false" customHeight="false" outlineLevel="0" collapsed="false">
      <c r="D673" s="264"/>
      <c r="E673" s="265"/>
      <c r="F673" s="265"/>
      <c r="G673" s="265"/>
      <c r="H673" s="265"/>
      <c r="I673" s="265"/>
      <c r="J673" s="266"/>
      <c r="K673" s="266"/>
    </row>
    <row r="674" customFormat="false" ht="15.75" hidden="false" customHeight="false" outlineLevel="0" collapsed="false">
      <c r="D674" s="264"/>
      <c r="E674" s="265"/>
      <c r="F674" s="265"/>
      <c r="G674" s="265"/>
      <c r="H674" s="265"/>
      <c r="I674" s="265"/>
      <c r="J674" s="266"/>
      <c r="K674" s="266"/>
    </row>
    <row r="675" customFormat="false" ht="15.75" hidden="false" customHeight="false" outlineLevel="0" collapsed="false">
      <c r="D675" s="264"/>
      <c r="E675" s="265"/>
      <c r="F675" s="265"/>
      <c r="G675" s="265"/>
      <c r="H675" s="265"/>
      <c r="I675" s="265"/>
      <c r="J675" s="266"/>
      <c r="K675" s="266"/>
    </row>
    <row r="676" customFormat="false" ht="15.75" hidden="false" customHeight="false" outlineLevel="0" collapsed="false">
      <c r="D676" s="264"/>
      <c r="E676" s="265"/>
      <c r="F676" s="265"/>
      <c r="G676" s="265"/>
      <c r="H676" s="265"/>
      <c r="I676" s="265"/>
      <c r="J676" s="266"/>
      <c r="K676" s="266"/>
    </row>
    <row r="677" customFormat="false" ht="15.75" hidden="false" customHeight="false" outlineLevel="0" collapsed="false">
      <c r="D677" s="264"/>
      <c r="E677" s="265"/>
      <c r="F677" s="265"/>
      <c r="G677" s="265"/>
      <c r="H677" s="265"/>
      <c r="I677" s="265"/>
      <c r="J677" s="266"/>
      <c r="K677" s="266"/>
    </row>
    <row r="678" customFormat="false" ht="15.75" hidden="false" customHeight="false" outlineLevel="0" collapsed="false">
      <c r="D678" s="264"/>
      <c r="E678" s="265"/>
      <c r="F678" s="265"/>
      <c r="G678" s="265"/>
      <c r="H678" s="265"/>
      <c r="I678" s="265"/>
      <c r="J678" s="266"/>
      <c r="K678" s="266"/>
    </row>
    <row r="679" customFormat="false" ht="15.75" hidden="false" customHeight="false" outlineLevel="0" collapsed="false">
      <c r="D679" s="264"/>
      <c r="E679" s="265"/>
      <c r="F679" s="265"/>
      <c r="G679" s="265"/>
      <c r="H679" s="265"/>
      <c r="I679" s="265"/>
      <c r="J679" s="266"/>
      <c r="K679" s="266"/>
    </row>
    <row r="680" customFormat="false" ht="15.75" hidden="false" customHeight="false" outlineLevel="0" collapsed="false">
      <c r="D680" s="264"/>
      <c r="E680" s="265"/>
      <c r="F680" s="265"/>
      <c r="G680" s="265"/>
      <c r="H680" s="265"/>
      <c r="I680" s="265"/>
      <c r="J680" s="266"/>
      <c r="K680" s="266"/>
    </row>
    <row r="681" customFormat="false" ht="15.75" hidden="false" customHeight="false" outlineLevel="0" collapsed="false">
      <c r="D681" s="264"/>
      <c r="E681" s="265"/>
      <c r="F681" s="265"/>
      <c r="G681" s="265"/>
      <c r="H681" s="265"/>
      <c r="I681" s="265"/>
      <c r="J681" s="266"/>
      <c r="K681" s="266"/>
    </row>
    <row r="682" customFormat="false" ht="15.75" hidden="false" customHeight="false" outlineLevel="0" collapsed="false">
      <c r="D682" s="264"/>
      <c r="E682" s="265"/>
      <c r="F682" s="265"/>
      <c r="G682" s="265"/>
      <c r="H682" s="265"/>
      <c r="I682" s="265"/>
      <c r="J682" s="266"/>
      <c r="K682" s="266"/>
    </row>
    <row r="683" customFormat="false" ht="15.75" hidden="false" customHeight="false" outlineLevel="0" collapsed="false">
      <c r="D683" s="264"/>
      <c r="E683" s="265"/>
      <c r="F683" s="265"/>
      <c r="G683" s="265"/>
      <c r="H683" s="265"/>
      <c r="I683" s="265"/>
      <c r="J683" s="266"/>
      <c r="K683" s="266"/>
    </row>
    <row r="684" customFormat="false" ht="15.75" hidden="false" customHeight="false" outlineLevel="0" collapsed="false">
      <c r="D684" s="264"/>
      <c r="E684" s="265"/>
      <c r="F684" s="265"/>
      <c r="G684" s="265"/>
      <c r="H684" s="265"/>
      <c r="I684" s="265"/>
      <c r="J684" s="266"/>
      <c r="K684" s="266"/>
    </row>
    <row r="685" customFormat="false" ht="15.75" hidden="false" customHeight="false" outlineLevel="0" collapsed="false">
      <c r="D685" s="264"/>
      <c r="E685" s="265"/>
      <c r="F685" s="265"/>
      <c r="G685" s="265"/>
      <c r="H685" s="265"/>
      <c r="I685" s="265"/>
      <c r="J685" s="266"/>
      <c r="K685" s="266"/>
    </row>
    <row r="686" customFormat="false" ht="15.75" hidden="false" customHeight="false" outlineLevel="0" collapsed="false">
      <c r="D686" s="264"/>
      <c r="E686" s="265"/>
      <c r="F686" s="265"/>
      <c r="G686" s="265"/>
      <c r="H686" s="265"/>
      <c r="I686" s="265"/>
      <c r="J686" s="266"/>
      <c r="K686" s="266"/>
    </row>
    <row r="687" customFormat="false" ht="15.75" hidden="false" customHeight="false" outlineLevel="0" collapsed="false">
      <c r="D687" s="264"/>
      <c r="E687" s="265"/>
      <c r="F687" s="265"/>
      <c r="G687" s="265"/>
      <c r="H687" s="265"/>
      <c r="I687" s="265"/>
      <c r="J687" s="266"/>
      <c r="K687" s="266"/>
    </row>
    <row r="688" customFormat="false" ht="15.75" hidden="false" customHeight="false" outlineLevel="0" collapsed="false">
      <c r="D688" s="264"/>
      <c r="E688" s="265"/>
      <c r="F688" s="265"/>
      <c r="G688" s="265"/>
      <c r="H688" s="265"/>
      <c r="I688" s="265"/>
      <c r="J688" s="266"/>
      <c r="K688" s="266"/>
    </row>
    <row r="689" customFormat="false" ht="15.75" hidden="false" customHeight="false" outlineLevel="0" collapsed="false">
      <c r="D689" s="264"/>
      <c r="E689" s="265"/>
      <c r="F689" s="265"/>
      <c r="G689" s="265"/>
      <c r="H689" s="265"/>
      <c r="I689" s="265"/>
      <c r="J689" s="266"/>
      <c r="K689" s="266"/>
    </row>
    <row r="690" customFormat="false" ht="15.75" hidden="false" customHeight="false" outlineLevel="0" collapsed="false">
      <c r="D690" s="264"/>
      <c r="E690" s="265"/>
      <c r="F690" s="265"/>
      <c r="G690" s="265"/>
      <c r="H690" s="265"/>
      <c r="I690" s="265"/>
      <c r="J690" s="266"/>
      <c r="K690" s="266"/>
    </row>
    <row r="691" customFormat="false" ht="15.75" hidden="false" customHeight="false" outlineLevel="0" collapsed="false">
      <c r="D691" s="264"/>
      <c r="E691" s="265"/>
      <c r="F691" s="265"/>
      <c r="G691" s="265"/>
      <c r="H691" s="265"/>
      <c r="I691" s="265"/>
      <c r="J691" s="266"/>
      <c r="K691" s="266"/>
    </row>
    <row r="692" customFormat="false" ht="15.75" hidden="false" customHeight="false" outlineLevel="0" collapsed="false">
      <c r="D692" s="264"/>
      <c r="E692" s="265"/>
      <c r="F692" s="265"/>
      <c r="G692" s="265"/>
      <c r="H692" s="265"/>
      <c r="I692" s="265"/>
      <c r="J692" s="266"/>
      <c r="K692" s="266"/>
    </row>
    <row r="693" customFormat="false" ht="15.75" hidden="false" customHeight="false" outlineLevel="0" collapsed="false">
      <c r="D693" s="264"/>
      <c r="E693" s="265"/>
      <c r="F693" s="265"/>
      <c r="G693" s="265"/>
      <c r="H693" s="265"/>
      <c r="I693" s="265"/>
      <c r="J693" s="266"/>
      <c r="K693" s="266"/>
    </row>
    <row r="694" customFormat="false" ht="15.75" hidden="false" customHeight="false" outlineLevel="0" collapsed="false">
      <c r="D694" s="264"/>
      <c r="E694" s="265"/>
      <c r="F694" s="265"/>
      <c r="G694" s="265"/>
      <c r="H694" s="265"/>
      <c r="I694" s="265"/>
      <c r="J694" s="266"/>
      <c r="K694" s="266"/>
    </row>
    <row r="695" customFormat="false" ht="15.75" hidden="false" customHeight="false" outlineLevel="0" collapsed="false">
      <c r="D695" s="264"/>
      <c r="E695" s="265"/>
      <c r="F695" s="265"/>
      <c r="G695" s="265"/>
      <c r="H695" s="265"/>
      <c r="I695" s="265"/>
      <c r="J695" s="266"/>
      <c r="K695" s="266"/>
    </row>
    <row r="696" customFormat="false" ht="15.75" hidden="false" customHeight="false" outlineLevel="0" collapsed="false">
      <c r="D696" s="264"/>
      <c r="E696" s="265"/>
      <c r="F696" s="265"/>
      <c r="G696" s="265"/>
      <c r="H696" s="265"/>
      <c r="I696" s="265"/>
      <c r="J696" s="266"/>
      <c r="K696" s="266"/>
    </row>
    <row r="697" customFormat="false" ht="15.75" hidden="false" customHeight="false" outlineLevel="0" collapsed="false">
      <c r="D697" s="264"/>
      <c r="E697" s="265"/>
      <c r="F697" s="265"/>
      <c r="G697" s="265"/>
      <c r="H697" s="265"/>
      <c r="I697" s="265"/>
      <c r="J697" s="266"/>
      <c r="K697" s="266"/>
    </row>
    <row r="698" customFormat="false" ht="15.75" hidden="false" customHeight="false" outlineLevel="0" collapsed="false">
      <c r="D698" s="264"/>
      <c r="E698" s="265"/>
      <c r="F698" s="265"/>
      <c r="G698" s="265"/>
      <c r="H698" s="265"/>
      <c r="I698" s="265"/>
      <c r="J698" s="266"/>
      <c r="K698" s="266"/>
    </row>
    <row r="699" customFormat="false" ht="15.75" hidden="false" customHeight="false" outlineLevel="0" collapsed="false">
      <c r="D699" s="264"/>
      <c r="E699" s="265"/>
      <c r="F699" s="265"/>
      <c r="G699" s="265"/>
      <c r="H699" s="265"/>
      <c r="I699" s="265"/>
      <c r="J699" s="266"/>
      <c r="K699" s="266"/>
    </row>
    <row r="700" customFormat="false" ht="15.75" hidden="false" customHeight="false" outlineLevel="0" collapsed="false">
      <c r="D700" s="264"/>
      <c r="E700" s="265"/>
      <c r="F700" s="265"/>
      <c r="G700" s="265"/>
      <c r="H700" s="265"/>
      <c r="I700" s="265"/>
      <c r="J700" s="266"/>
      <c r="K700" s="266"/>
    </row>
    <row r="701" customFormat="false" ht="15.75" hidden="false" customHeight="false" outlineLevel="0" collapsed="false">
      <c r="D701" s="264"/>
      <c r="E701" s="265"/>
      <c r="F701" s="265"/>
      <c r="G701" s="265"/>
      <c r="H701" s="265"/>
      <c r="I701" s="265"/>
      <c r="J701" s="266"/>
      <c r="K701" s="266"/>
    </row>
    <row r="702" customFormat="false" ht="15.75" hidden="false" customHeight="false" outlineLevel="0" collapsed="false">
      <c r="D702" s="264"/>
      <c r="E702" s="265"/>
      <c r="F702" s="265"/>
      <c r="G702" s="265"/>
      <c r="H702" s="265"/>
      <c r="I702" s="265"/>
      <c r="J702" s="266"/>
      <c r="K702" s="266"/>
    </row>
    <row r="703" customFormat="false" ht="15.75" hidden="false" customHeight="false" outlineLevel="0" collapsed="false">
      <c r="D703" s="264"/>
      <c r="E703" s="265"/>
      <c r="F703" s="265"/>
      <c r="G703" s="265"/>
      <c r="H703" s="265"/>
      <c r="I703" s="265"/>
      <c r="J703" s="266"/>
      <c r="K703" s="266"/>
    </row>
    <row r="704" customFormat="false" ht="15.75" hidden="false" customHeight="false" outlineLevel="0" collapsed="false">
      <c r="D704" s="264"/>
      <c r="E704" s="265"/>
      <c r="F704" s="265"/>
      <c r="G704" s="265"/>
      <c r="H704" s="265"/>
      <c r="I704" s="265"/>
      <c r="J704" s="266"/>
      <c r="K704" s="266"/>
    </row>
    <row r="705" customFormat="false" ht="15.75" hidden="false" customHeight="false" outlineLevel="0" collapsed="false">
      <c r="D705" s="264"/>
      <c r="E705" s="265"/>
      <c r="F705" s="265"/>
      <c r="G705" s="265"/>
      <c r="H705" s="265"/>
      <c r="I705" s="265"/>
      <c r="J705" s="266"/>
      <c r="K705" s="266"/>
    </row>
    <row r="706" customFormat="false" ht="15.75" hidden="false" customHeight="false" outlineLevel="0" collapsed="false">
      <c r="D706" s="264"/>
      <c r="E706" s="265"/>
      <c r="F706" s="265"/>
      <c r="G706" s="265"/>
      <c r="H706" s="265"/>
      <c r="I706" s="265"/>
      <c r="J706" s="266"/>
      <c r="K706" s="266"/>
    </row>
    <row r="707" customFormat="false" ht="15.75" hidden="false" customHeight="false" outlineLevel="0" collapsed="false">
      <c r="D707" s="264"/>
      <c r="E707" s="265"/>
      <c r="F707" s="265"/>
      <c r="G707" s="265"/>
      <c r="H707" s="265"/>
      <c r="I707" s="265"/>
      <c r="J707" s="266"/>
      <c r="K707" s="266"/>
    </row>
    <row r="708" customFormat="false" ht="15.75" hidden="false" customHeight="false" outlineLevel="0" collapsed="false">
      <c r="D708" s="264"/>
      <c r="E708" s="265"/>
      <c r="F708" s="265"/>
      <c r="G708" s="265"/>
      <c r="H708" s="265"/>
      <c r="I708" s="265"/>
      <c r="J708" s="266"/>
      <c r="K708" s="266"/>
    </row>
    <row r="709" customFormat="false" ht="15.75" hidden="false" customHeight="false" outlineLevel="0" collapsed="false">
      <c r="D709" s="264"/>
      <c r="E709" s="265"/>
      <c r="F709" s="265"/>
      <c r="G709" s="265"/>
      <c r="H709" s="265"/>
      <c r="I709" s="265"/>
      <c r="J709" s="266"/>
      <c r="K709" s="266"/>
    </row>
    <row r="710" customFormat="false" ht="15.75" hidden="false" customHeight="false" outlineLevel="0" collapsed="false">
      <c r="D710" s="264"/>
      <c r="E710" s="265"/>
      <c r="F710" s="265"/>
      <c r="G710" s="265"/>
      <c r="H710" s="265"/>
      <c r="I710" s="265"/>
      <c r="J710" s="266"/>
      <c r="K710" s="266"/>
    </row>
    <row r="711" customFormat="false" ht="15.75" hidden="false" customHeight="false" outlineLevel="0" collapsed="false">
      <c r="D711" s="264"/>
      <c r="E711" s="265"/>
      <c r="F711" s="265"/>
      <c r="G711" s="265"/>
      <c r="H711" s="265"/>
      <c r="I711" s="265"/>
      <c r="J711" s="266"/>
      <c r="K711" s="266"/>
    </row>
    <row r="712" customFormat="false" ht="15.75" hidden="false" customHeight="false" outlineLevel="0" collapsed="false">
      <c r="D712" s="264"/>
      <c r="E712" s="265"/>
      <c r="F712" s="265"/>
      <c r="G712" s="265"/>
      <c r="H712" s="265"/>
      <c r="I712" s="265"/>
      <c r="J712" s="266"/>
      <c r="K712" s="266"/>
    </row>
    <row r="713" customFormat="false" ht="15.75" hidden="false" customHeight="false" outlineLevel="0" collapsed="false">
      <c r="D713" s="264"/>
      <c r="E713" s="265"/>
      <c r="F713" s="265"/>
      <c r="G713" s="265"/>
      <c r="H713" s="265"/>
      <c r="I713" s="265"/>
      <c r="J713" s="266"/>
      <c r="K713" s="266"/>
    </row>
    <row r="714" customFormat="false" ht="15.75" hidden="false" customHeight="false" outlineLevel="0" collapsed="false">
      <c r="D714" s="264"/>
      <c r="E714" s="265"/>
      <c r="F714" s="265"/>
      <c r="G714" s="265"/>
      <c r="H714" s="265"/>
      <c r="I714" s="265"/>
      <c r="J714" s="266"/>
      <c r="K714" s="266"/>
    </row>
    <row r="715" customFormat="false" ht="15.75" hidden="false" customHeight="false" outlineLevel="0" collapsed="false">
      <c r="D715" s="264"/>
      <c r="E715" s="265"/>
      <c r="F715" s="265"/>
      <c r="G715" s="265"/>
      <c r="H715" s="265"/>
      <c r="I715" s="265"/>
      <c r="J715" s="266"/>
      <c r="K715" s="266"/>
    </row>
    <row r="716" customFormat="false" ht="15.75" hidden="false" customHeight="false" outlineLevel="0" collapsed="false">
      <c r="D716" s="264"/>
      <c r="E716" s="265"/>
      <c r="F716" s="265"/>
      <c r="G716" s="265"/>
      <c r="H716" s="265"/>
      <c r="I716" s="265"/>
      <c r="J716" s="266"/>
      <c r="K716" s="266"/>
    </row>
    <row r="717" customFormat="false" ht="15.75" hidden="false" customHeight="false" outlineLevel="0" collapsed="false">
      <c r="D717" s="264"/>
      <c r="E717" s="265"/>
      <c r="F717" s="265"/>
      <c r="G717" s="265"/>
      <c r="H717" s="265"/>
      <c r="I717" s="265"/>
      <c r="J717" s="266"/>
      <c r="K717" s="266"/>
    </row>
    <row r="718" customFormat="false" ht="15.75" hidden="false" customHeight="false" outlineLevel="0" collapsed="false">
      <c r="D718" s="264"/>
      <c r="E718" s="265"/>
      <c r="F718" s="265"/>
      <c r="G718" s="265"/>
      <c r="H718" s="265"/>
      <c r="I718" s="265"/>
      <c r="J718" s="266"/>
      <c r="K718" s="266"/>
    </row>
    <row r="719" customFormat="false" ht="15.75" hidden="false" customHeight="false" outlineLevel="0" collapsed="false">
      <c r="D719" s="264"/>
      <c r="E719" s="265"/>
      <c r="F719" s="265"/>
      <c r="G719" s="265"/>
      <c r="H719" s="265"/>
      <c r="I719" s="265"/>
      <c r="J719" s="266"/>
      <c r="K719" s="266"/>
    </row>
    <row r="720" customFormat="false" ht="15.75" hidden="false" customHeight="false" outlineLevel="0" collapsed="false">
      <c r="D720" s="264"/>
      <c r="E720" s="265"/>
      <c r="F720" s="265"/>
      <c r="G720" s="265"/>
      <c r="H720" s="265"/>
      <c r="I720" s="265"/>
      <c r="J720" s="266"/>
      <c r="K720" s="266"/>
    </row>
    <row r="721" customFormat="false" ht="15.75" hidden="false" customHeight="false" outlineLevel="0" collapsed="false">
      <c r="D721" s="264"/>
      <c r="E721" s="265"/>
      <c r="F721" s="265"/>
      <c r="G721" s="265"/>
      <c r="H721" s="265"/>
      <c r="I721" s="265"/>
      <c r="J721" s="266"/>
      <c r="K721" s="266"/>
    </row>
    <row r="722" customFormat="false" ht="15.75" hidden="false" customHeight="false" outlineLevel="0" collapsed="false">
      <c r="D722" s="264"/>
      <c r="E722" s="265"/>
      <c r="F722" s="265"/>
      <c r="G722" s="265"/>
      <c r="H722" s="265"/>
      <c r="I722" s="265"/>
      <c r="J722" s="266"/>
      <c r="K722" s="266"/>
    </row>
    <row r="723" customFormat="false" ht="15.75" hidden="false" customHeight="false" outlineLevel="0" collapsed="false">
      <c r="D723" s="264"/>
      <c r="E723" s="265"/>
      <c r="F723" s="265"/>
      <c r="G723" s="265"/>
      <c r="H723" s="265"/>
      <c r="I723" s="265"/>
      <c r="J723" s="266"/>
      <c r="K723" s="266"/>
    </row>
    <row r="724" customFormat="false" ht="15.75" hidden="false" customHeight="false" outlineLevel="0" collapsed="false">
      <c r="D724" s="264"/>
      <c r="E724" s="265"/>
      <c r="F724" s="265"/>
      <c r="G724" s="265"/>
      <c r="H724" s="265"/>
      <c r="I724" s="265"/>
      <c r="J724" s="266"/>
      <c r="K724" s="266"/>
    </row>
    <row r="725" customFormat="false" ht="15.75" hidden="false" customHeight="false" outlineLevel="0" collapsed="false">
      <c r="D725" s="264"/>
      <c r="E725" s="265"/>
      <c r="F725" s="265"/>
      <c r="G725" s="265"/>
      <c r="H725" s="265"/>
      <c r="I725" s="265"/>
      <c r="J725" s="266"/>
      <c r="K725" s="266"/>
    </row>
    <row r="726" customFormat="false" ht="15.75" hidden="false" customHeight="false" outlineLevel="0" collapsed="false">
      <c r="D726" s="264"/>
      <c r="E726" s="265"/>
      <c r="F726" s="265"/>
      <c r="G726" s="265"/>
      <c r="H726" s="265"/>
      <c r="I726" s="265"/>
      <c r="J726" s="266"/>
      <c r="K726" s="266"/>
    </row>
    <row r="727" customFormat="false" ht="15.75" hidden="false" customHeight="false" outlineLevel="0" collapsed="false">
      <c r="D727" s="264"/>
      <c r="E727" s="265"/>
      <c r="F727" s="265"/>
      <c r="G727" s="265"/>
      <c r="H727" s="265"/>
      <c r="I727" s="265"/>
      <c r="J727" s="266"/>
      <c r="K727" s="266"/>
    </row>
    <row r="728" customFormat="false" ht="15.75" hidden="false" customHeight="false" outlineLevel="0" collapsed="false">
      <c r="D728" s="264"/>
      <c r="E728" s="265"/>
      <c r="F728" s="265"/>
      <c r="G728" s="265"/>
      <c r="H728" s="265"/>
      <c r="I728" s="265"/>
      <c r="J728" s="266"/>
      <c r="K728" s="266"/>
    </row>
    <row r="729" customFormat="false" ht="15.75" hidden="false" customHeight="false" outlineLevel="0" collapsed="false">
      <c r="D729" s="264"/>
      <c r="E729" s="265"/>
      <c r="F729" s="265"/>
      <c r="G729" s="265"/>
      <c r="H729" s="265"/>
      <c r="I729" s="265"/>
      <c r="J729" s="266"/>
      <c r="K729" s="266"/>
    </row>
    <row r="730" customFormat="false" ht="15.75" hidden="false" customHeight="false" outlineLevel="0" collapsed="false">
      <c r="D730" s="264"/>
      <c r="E730" s="265"/>
      <c r="F730" s="265"/>
      <c r="G730" s="265"/>
      <c r="H730" s="265"/>
      <c r="I730" s="265"/>
      <c r="J730" s="266"/>
      <c r="K730" s="266"/>
    </row>
    <row r="731" customFormat="false" ht="15.75" hidden="false" customHeight="false" outlineLevel="0" collapsed="false">
      <c r="D731" s="264"/>
      <c r="E731" s="265"/>
      <c r="F731" s="265"/>
      <c r="G731" s="265"/>
      <c r="H731" s="265"/>
      <c r="I731" s="265"/>
      <c r="J731" s="266"/>
      <c r="K731" s="266"/>
    </row>
    <row r="732" customFormat="false" ht="15.75" hidden="false" customHeight="false" outlineLevel="0" collapsed="false">
      <c r="D732" s="264"/>
      <c r="E732" s="265"/>
      <c r="F732" s="265"/>
      <c r="G732" s="265"/>
      <c r="H732" s="265"/>
      <c r="I732" s="265"/>
      <c r="J732" s="266"/>
      <c r="K732" s="266"/>
    </row>
    <row r="733" customFormat="false" ht="15.75" hidden="false" customHeight="false" outlineLevel="0" collapsed="false">
      <c r="D733" s="264"/>
      <c r="E733" s="265"/>
      <c r="F733" s="265"/>
      <c r="G733" s="265"/>
      <c r="H733" s="265"/>
      <c r="I733" s="265"/>
      <c r="J733" s="266"/>
      <c r="K733" s="266"/>
    </row>
    <row r="734" customFormat="false" ht="15.75" hidden="false" customHeight="false" outlineLevel="0" collapsed="false">
      <c r="D734" s="264"/>
      <c r="E734" s="265"/>
      <c r="F734" s="265"/>
      <c r="G734" s="265"/>
      <c r="H734" s="265"/>
      <c r="I734" s="265"/>
      <c r="J734" s="266"/>
      <c r="K734" s="266"/>
    </row>
    <row r="735" customFormat="false" ht="15.75" hidden="false" customHeight="false" outlineLevel="0" collapsed="false">
      <c r="D735" s="264"/>
      <c r="E735" s="265"/>
      <c r="F735" s="265"/>
      <c r="G735" s="265"/>
      <c r="H735" s="265"/>
      <c r="I735" s="265"/>
      <c r="J735" s="266"/>
      <c r="K735" s="266"/>
    </row>
    <row r="736" customFormat="false" ht="15.75" hidden="false" customHeight="false" outlineLevel="0" collapsed="false">
      <c r="D736" s="264"/>
      <c r="E736" s="265"/>
      <c r="F736" s="265"/>
      <c r="G736" s="265"/>
      <c r="H736" s="265"/>
      <c r="I736" s="265"/>
      <c r="J736" s="266"/>
      <c r="K736" s="266"/>
    </row>
    <row r="737" customFormat="false" ht="15.75" hidden="false" customHeight="false" outlineLevel="0" collapsed="false">
      <c r="D737" s="264"/>
      <c r="E737" s="265"/>
      <c r="F737" s="265"/>
      <c r="G737" s="265"/>
      <c r="H737" s="265"/>
      <c r="I737" s="265"/>
      <c r="J737" s="266"/>
      <c r="K737" s="266"/>
    </row>
    <row r="738" customFormat="false" ht="15.75" hidden="false" customHeight="false" outlineLevel="0" collapsed="false">
      <c r="D738" s="264"/>
      <c r="E738" s="265"/>
      <c r="F738" s="265"/>
      <c r="G738" s="265"/>
      <c r="H738" s="265"/>
      <c r="I738" s="265"/>
      <c r="J738" s="266"/>
      <c r="K738" s="266"/>
    </row>
    <row r="739" customFormat="false" ht="15.75" hidden="false" customHeight="false" outlineLevel="0" collapsed="false">
      <c r="D739" s="264"/>
      <c r="E739" s="265"/>
      <c r="F739" s="265"/>
      <c r="G739" s="265"/>
      <c r="H739" s="265"/>
      <c r="I739" s="265"/>
      <c r="J739" s="266"/>
      <c r="K739" s="266"/>
    </row>
    <row r="740" customFormat="false" ht="15.75" hidden="false" customHeight="false" outlineLevel="0" collapsed="false">
      <c r="D740" s="264"/>
      <c r="E740" s="265"/>
      <c r="F740" s="265"/>
      <c r="G740" s="265"/>
      <c r="H740" s="265"/>
      <c r="I740" s="265"/>
      <c r="J740" s="266"/>
      <c r="K740" s="266"/>
    </row>
    <row r="741" customFormat="false" ht="15.75" hidden="false" customHeight="false" outlineLevel="0" collapsed="false">
      <c r="D741" s="264"/>
      <c r="E741" s="265"/>
      <c r="F741" s="265"/>
      <c r="G741" s="265"/>
      <c r="H741" s="265"/>
      <c r="I741" s="265"/>
      <c r="J741" s="266"/>
      <c r="K741" s="266"/>
    </row>
    <row r="742" customFormat="false" ht="15.75" hidden="false" customHeight="false" outlineLevel="0" collapsed="false">
      <c r="D742" s="264"/>
      <c r="E742" s="265"/>
      <c r="F742" s="265"/>
      <c r="G742" s="265"/>
      <c r="H742" s="265"/>
      <c r="I742" s="265"/>
      <c r="J742" s="266"/>
      <c r="K742" s="266"/>
    </row>
    <row r="743" customFormat="false" ht="15.75" hidden="false" customHeight="false" outlineLevel="0" collapsed="false">
      <c r="D743" s="264"/>
      <c r="E743" s="265"/>
      <c r="F743" s="265"/>
      <c r="G743" s="265"/>
      <c r="H743" s="265"/>
      <c r="I743" s="265"/>
      <c r="J743" s="266"/>
      <c r="K743" s="266"/>
    </row>
    <row r="744" customFormat="false" ht="15.75" hidden="false" customHeight="false" outlineLevel="0" collapsed="false">
      <c r="D744" s="264"/>
      <c r="E744" s="265"/>
      <c r="F744" s="265"/>
      <c r="G744" s="265"/>
      <c r="H744" s="265"/>
      <c r="I744" s="265"/>
      <c r="J744" s="266"/>
      <c r="K744" s="266"/>
    </row>
    <row r="745" customFormat="false" ht="15.75" hidden="false" customHeight="false" outlineLevel="0" collapsed="false">
      <c r="D745" s="264"/>
      <c r="E745" s="265"/>
      <c r="F745" s="265"/>
      <c r="G745" s="265"/>
      <c r="H745" s="265"/>
      <c r="I745" s="265"/>
      <c r="J745" s="266"/>
      <c r="K745" s="266"/>
    </row>
    <row r="746" customFormat="false" ht="15.75" hidden="false" customHeight="false" outlineLevel="0" collapsed="false">
      <c r="D746" s="264"/>
      <c r="E746" s="265"/>
      <c r="F746" s="265"/>
      <c r="G746" s="265"/>
      <c r="H746" s="265"/>
      <c r="I746" s="265"/>
      <c r="J746" s="266"/>
      <c r="K746" s="266"/>
    </row>
    <row r="747" customFormat="false" ht="15.75" hidden="false" customHeight="false" outlineLevel="0" collapsed="false">
      <c r="D747" s="264"/>
      <c r="E747" s="265"/>
      <c r="F747" s="265"/>
      <c r="G747" s="265"/>
      <c r="H747" s="265"/>
      <c r="I747" s="265"/>
      <c r="J747" s="266"/>
      <c r="K747" s="266"/>
    </row>
    <row r="748" customFormat="false" ht="15.75" hidden="false" customHeight="false" outlineLevel="0" collapsed="false">
      <c r="D748" s="264"/>
      <c r="E748" s="265"/>
      <c r="F748" s="265"/>
      <c r="G748" s="265"/>
      <c r="H748" s="265"/>
      <c r="I748" s="265"/>
      <c r="J748" s="266"/>
      <c r="K748" s="266"/>
    </row>
    <row r="749" customFormat="false" ht="15.75" hidden="false" customHeight="false" outlineLevel="0" collapsed="false">
      <c r="D749" s="264"/>
      <c r="E749" s="265"/>
      <c r="F749" s="265"/>
      <c r="G749" s="265"/>
      <c r="H749" s="265"/>
      <c r="I749" s="265"/>
      <c r="J749" s="266"/>
      <c r="K749" s="266"/>
    </row>
    <row r="750" customFormat="false" ht="15.75" hidden="false" customHeight="false" outlineLevel="0" collapsed="false">
      <c r="D750" s="264"/>
      <c r="E750" s="265"/>
      <c r="F750" s="265"/>
      <c r="G750" s="265"/>
      <c r="H750" s="265"/>
      <c r="I750" s="265"/>
      <c r="J750" s="266"/>
      <c r="K750" s="266"/>
    </row>
    <row r="751" customFormat="false" ht="15.75" hidden="false" customHeight="false" outlineLevel="0" collapsed="false">
      <c r="D751" s="264"/>
      <c r="E751" s="265"/>
      <c r="F751" s="265"/>
      <c r="G751" s="265"/>
      <c r="H751" s="265"/>
      <c r="I751" s="265"/>
      <c r="J751" s="266"/>
      <c r="K751" s="266"/>
    </row>
    <row r="752" customFormat="false" ht="15.75" hidden="false" customHeight="false" outlineLevel="0" collapsed="false">
      <c r="D752" s="264"/>
      <c r="E752" s="265"/>
      <c r="F752" s="265"/>
      <c r="G752" s="265"/>
      <c r="H752" s="265"/>
      <c r="I752" s="265"/>
      <c r="J752" s="266"/>
      <c r="K752" s="266"/>
    </row>
    <row r="753" customFormat="false" ht="15.75" hidden="false" customHeight="false" outlineLevel="0" collapsed="false">
      <c r="D753" s="264"/>
      <c r="E753" s="265"/>
      <c r="F753" s="265"/>
      <c r="G753" s="265"/>
      <c r="H753" s="265"/>
      <c r="I753" s="265"/>
      <c r="J753" s="266"/>
      <c r="K753" s="266"/>
    </row>
    <row r="754" customFormat="false" ht="15.75" hidden="false" customHeight="false" outlineLevel="0" collapsed="false">
      <c r="D754" s="264"/>
      <c r="E754" s="265"/>
      <c r="F754" s="265"/>
      <c r="G754" s="265"/>
      <c r="H754" s="265"/>
      <c r="I754" s="265"/>
      <c r="J754" s="266"/>
      <c r="K754" s="266"/>
    </row>
    <row r="755" customFormat="false" ht="15.75" hidden="false" customHeight="false" outlineLevel="0" collapsed="false">
      <c r="D755" s="264"/>
      <c r="E755" s="265"/>
      <c r="F755" s="265"/>
      <c r="G755" s="265"/>
      <c r="H755" s="265"/>
      <c r="I755" s="265"/>
      <c r="J755" s="266"/>
      <c r="K755" s="266"/>
    </row>
    <row r="756" customFormat="false" ht="15.75" hidden="false" customHeight="false" outlineLevel="0" collapsed="false">
      <c r="D756" s="264"/>
      <c r="E756" s="265"/>
      <c r="F756" s="265"/>
      <c r="G756" s="265"/>
      <c r="H756" s="265"/>
      <c r="I756" s="265"/>
      <c r="J756" s="266"/>
      <c r="K756" s="266"/>
    </row>
    <row r="757" customFormat="false" ht="15.75" hidden="false" customHeight="false" outlineLevel="0" collapsed="false">
      <c r="D757" s="264"/>
      <c r="E757" s="265"/>
      <c r="F757" s="265"/>
      <c r="G757" s="265"/>
      <c r="H757" s="265"/>
      <c r="I757" s="265"/>
      <c r="J757" s="266"/>
      <c r="K757" s="266"/>
    </row>
    <row r="758" customFormat="false" ht="15.75" hidden="false" customHeight="false" outlineLevel="0" collapsed="false">
      <c r="D758" s="264"/>
      <c r="E758" s="265"/>
      <c r="F758" s="265"/>
      <c r="G758" s="265"/>
      <c r="H758" s="265"/>
      <c r="I758" s="265"/>
      <c r="J758" s="266"/>
      <c r="K758" s="266"/>
    </row>
    <row r="759" customFormat="false" ht="15.75" hidden="false" customHeight="false" outlineLevel="0" collapsed="false">
      <c r="D759" s="264"/>
      <c r="E759" s="265"/>
      <c r="F759" s="265"/>
      <c r="G759" s="265"/>
      <c r="H759" s="265"/>
      <c r="I759" s="265"/>
      <c r="J759" s="266"/>
      <c r="K759" s="266"/>
    </row>
    <row r="760" customFormat="false" ht="15.75" hidden="false" customHeight="false" outlineLevel="0" collapsed="false">
      <c r="D760" s="264"/>
      <c r="E760" s="265"/>
      <c r="F760" s="265"/>
      <c r="G760" s="265"/>
      <c r="H760" s="265"/>
      <c r="I760" s="265"/>
      <c r="J760" s="266"/>
      <c r="K760" s="266"/>
    </row>
    <row r="761" customFormat="false" ht="15.75" hidden="false" customHeight="false" outlineLevel="0" collapsed="false">
      <c r="D761" s="264"/>
      <c r="E761" s="265"/>
      <c r="F761" s="265"/>
      <c r="G761" s="265"/>
      <c r="H761" s="265"/>
      <c r="I761" s="265"/>
      <c r="J761" s="266"/>
      <c r="K761" s="266"/>
    </row>
    <row r="762" customFormat="false" ht="15.75" hidden="false" customHeight="false" outlineLevel="0" collapsed="false">
      <c r="D762" s="264"/>
      <c r="E762" s="265"/>
      <c r="F762" s="265"/>
      <c r="G762" s="265"/>
      <c r="H762" s="265"/>
      <c r="I762" s="265"/>
      <c r="J762" s="266"/>
      <c r="K762" s="266"/>
    </row>
    <row r="763" customFormat="false" ht="15.75" hidden="false" customHeight="false" outlineLevel="0" collapsed="false">
      <c r="D763" s="264"/>
      <c r="E763" s="265"/>
      <c r="F763" s="265"/>
      <c r="G763" s="265"/>
      <c r="H763" s="265"/>
      <c r="I763" s="265"/>
      <c r="J763" s="266"/>
      <c r="K763" s="266"/>
    </row>
    <row r="764" customFormat="false" ht="15.75" hidden="false" customHeight="false" outlineLevel="0" collapsed="false">
      <c r="D764" s="264"/>
      <c r="E764" s="265"/>
      <c r="F764" s="265"/>
      <c r="G764" s="265"/>
      <c r="H764" s="265"/>
      <c r="I764" s="265"/>
      <c r="J764" s="266"/>
      <c r="K764" s="266"/>
    </row>
    <row r="765" customFormat="false" ht="15.75" hidden="false" customHeight="false" outlineLevel="0" collapsed="false">
      <c r="D765" s="264"/>
      <c r="E765" s="265"/>
      <c r="F765" s="265"/>
      <c r="G765" s="265"/>
      <c r="H765" s="265"/>
      <c r="I765" s="265"/>
      <c r="J765" s="266"/>
      <c r="K765" s="266"/>
    </row>
    <row r="766" customFormat="false" ht="15.75" hidden="false" customHeight="false" outlineLevel="0" collapsed="false">
      <c r="D766" s="264"/>
      <c r="E766" s="265"/>
      <c r="F766" s="265"/>
      <c r="G766" s="265"/>
      <c r="H766" s="265"/>
      <c r="I766" s="265"/>
      <c r="J766" s="266"/>
      <c r="K766" s="266"/>
    </row>
    <row r="767" customFormat="false" ht="15.75" hidden="false" customHeight="false" outlineLevel="0" collapsed="false">
      <c r="D767" s="264"/>
      <c r="E767" s="265"/>
      <c r="F767" s="265"/>
      <c r="G767" s="265"/>
      <c r="H767" s="265"/>
      <c r="I767" s="265"/>
      <c r="J767" s="266"/>
      <c r="K767" s="266"/>
    </row>
    <row r="768" customFormat="false" ht="15.75" hidden="false" customHeight="false" outlineLevel="0" collapsed="false">
      <c r="D768" s="264"/>
      <c r="E768" s="265"/>
      <c r="F768" s="265"/>
      <c r="G768" s="265"/>
      <c r="H768" s="265"/>
      <c r="I768" s="265"/>
      <c r="J768" s="266"/>
      <c r="K768" s="266"/>
    </row>
    <row r="769" customFormat="false" ht="15.75" hidden="false" customHeight="false" outlineLevel="0" collapsed="false">
      <c r="D769" s="264"/>
      <c r="E769" s="265"/>
      <c r="F769" s="265"/>
      <c r="G769" s="265"/>
      <c r="H769" s="265"/>
      <c r="I769" s="265"/>
      <c r="J769" s="266"/>
      <c r="K769" s="266"/>
    </row>
    <row r="770" customFormat="false" ht="15.75" hidden="false" customHeight="false" outlineLevel="0" collapsed="false">
      <c r="D770" s="264"/>
      <c r="E770" s="265"/>
      <c r="F770" s="265"/>
      <c r="G770" s="265"/>
      <c r="H770" s="265"/>
      <c r="I770" s="265"/>
      <c r="J770" s="266"/>
      <c r="K770" s="266"/>
    </row>
    <row r="771" customFormat="false" ht="15.75" hidden="false" customHeight="false" outlineLevel="0" collapsed="false">
      <c r="D771" s="264"/>
      <c r="E771" s="265"/>
      <c r="F771" s="265"/>
      <c r="G771" s="265"/>
      <c r="H771" s="265"/>
      <c r="I771" s="265"/>
      <c r="J771" s="266"/>
      <c r="K771" s="266"/>
    </row>
    <row r="772" customFormat="false" ht="15.75" hidden="false" customHeight="false" outlineLevel="0" collapsed="false">
      <c r="D772" s="264"/>
      <c r="E772" s="265"/>
      <c r="F772" s="265"/>
      <c r="G772" s="265"/>
      <c r="H772" s="265"/>
      <c r="I772" s="265"/>
      <c r="J772" s="266"/>
      <c r="K772" s="266"/>
    </row>
    <row r="773" customFormat="false" ht="15.75" hidden="false" customHeight="false" outlineLevel="0" collapsed="false">
      <c r="D773" s="264"/>
      <c r="E773" s="265"/>
      <c r="F773" s="265"/>
      <c r="G773" s="265"/>
      <c r="H773" s="265"/>
      <c r="I773" s="265"/>
      <c r="J773" s="266"/>
      <c r="K773" s="266"/>
    </row>
    <row r="774" customFormat="false" ht="15.75" hidden="false" customHeight="false" outlineLevel="0" collapsed="false">
      <c r="D774" s="264"/>
      <c r="E774" s="265"/>
      <c r="F774" s="265"/>
      <c r="G774" s="265"/>
      <c r="H774" s="265"/>
      <c r="I774" s="265"/>
      <c r="J774" s="266"/>
      <c r="K774" s="266"/>
    </row>
    <row r="775" customFormat="false" ht="15.75" hidden="false" customHeight="false" outlineLevel="0" collapsed="false">
      <c r="D775" s="264"/>
      <c r="E775" s="265"/>
      <c r="F775" s="265"/>
      <c r="G775" s="265"/>
      <c r="H775" s="265"/>
      <c r="I775" s="265"/>
      <c r="J775" s="266"/>
      <c r="K775" s="266"/>
    </row>
    <row r="776" customFormat="false" ht="15.75" hidden="false" customHeight="false" outlineLevel="0" collapsed="false">
      <c r="D776" s="264"/>
      <c r="E776" s="265"/>
      <c r="F776" s="265"/>
      <c r="G776" s="265"/>
      <c r="H776" s="265"/>
      <c r="I776" s="265"/>
      <c r="J776" s="266"/>
      <c r="K776" s="266"/>
    </row>
    <row r="777" customFormat="false" ht="15.75" hidden="false" customHeight="false" outlineLevel="0" collapsed="false">
      <c r="D777" s="264"/>
      <c r="E777" s="265"/>
      <c r="F777" s="265"/>
      <c r="G777" s="265"/>
      <c r="H777" s="265"/>
      <c r="I777" s="265"/>
      <c r="J777" s="266"/>
      <c r="K777" s="266"/>
    </row>
    <row r="778" customFormat="false" ht="15.75" hidden="false" customHeight="false" outlineLevel="0" collapsed="false">
      <c r="D778" s="264"/>
      <c r="E778" s="265"/>
      <c r="F778" s="265"/>
      <c r="G778" s="265"/>
      <c r="H778" s="265"/>
      <c r="I778" s="265"/>
      <c r="J778" s="266"/>
      <c r="K778" s="266"/>
    </row>
    <row r="779" customFormat="false" ht="15.75" hidden="false" customHeight="false" outlineLevel="0" collapsed="false">
      <c r="D779" s="264"/>
      <c r="E779" s="265"/>
      <c r="F779" s="265"/>
      <c r="G779" s="265"/>
      <c r="H779" s="265"/>
      <c r="I779" s="265"/>
      <c r="J779" s="266"/>
      <c r="K779" s="266"/>
    </row>
    <row r="780" customFormat="false" ht="15.75" hidden="false" customHeight="false" outlineLevel="0" collapsed="false">
      <c r="D780" s="264"/>
      <c r="E780" s="265"/>
      <c r="F780" s="265"/>
      <c r="G780" s="265"/>
      <c r="H780" s="265"/>
      <c r="I780" s="265"/>
      <c r="J780" s="266"/>
      <c r="K780" s="266"/>
    </row>
    <row r="781" customFormat="false" ht="15.75" hidden="false" customHeight="false" outlineLevel="0" collapsed="false">
      <c r="D781" s="264"/>
      <c r="E781" s="265"/>
      <c r="F781" s="265"/>
      <c r="G781" s="265"/>
      <c r="H781" s="265"/>
      <c r="I781" s="265"/>
      <c r="J781" s="266"/>
      <c r="K781" s="266"/>
    </row>
    <row r="782" customFormat="false" ht="15.75" hidden="false" customHeight="false" outlineLevel="0" collapsed="false">
      <c r="D782" s="264"/>
      <c r="E782" s="265"/>
      <c r="F782" s="265"/>
      <c r="G782" s="265"/>
      <c r="H782" s="265"/>
      <c r="I782" s="265"/>
      <c r="J782" s="266"/>
      <c r="K782" s="266"/>
    </row>
    <row r="783" customFormat="false" ht="15.75" hidden="false" customHeight="false" outlineLevel="0" collapsed="false">
      <c r="D783" s="264"/>
      <c r="E783" s="265"/>
      <c r="F783" s="265"/>
      <c r="G783" s="265"/>
      <c r="H783" s="265"/>
      <c r="I783" s="265"/>
      <c r="J783" s="266"/>
      <c r="K783" s="266"/>
    </row>
    <row r="784" customFormat="false" ht="15.75" hidden="false" customHeight="false" outlineLevel="0" collapsed="false">
      <c r="D784" s="264"/>
      <c r="E784" s="265"/>
      <c r="F784" s="265"/>
      <c r="G784" s="265"/>
      <c r="H784" s="265"/>
      <c r="I784" s="265"/>
      <c r="J784" s="266"/>
      <c r="K784" s="266"/>
    </row>
    <row r="785" customFormat="false" ht="15.75" hidden="false" customHeight="false" outlineLevel="0" collapsed="false">
      <c r="D785" s="264"/>
      <c r="E785" s="265"/>
      <c r="F785" s="265"/>
      <c r="G785" s="265"/>
      <c r="H785" s="265"/>
      <c r="I785" s="265"/>
      <c r="J785" s="266"/>
      <c r="K785" s="266"/>
    </row>
    <row r="786" customFormat="false" ht="15.75" hidden="false" customHeight="false" outlineLevel="0" collapsed="false">
      <c r="D786" s="264"/>
      <c r="E786" s="265"/>
      <c r="F786" s="265"/>
      <c r="G786" s="265"/>
      <c r="H786" s="265"/>
      <c r="I786" s="265"/>
      <c r="J786" s="266"/>
      <c r="K786" s="266"/>
    </row>
    <row r="787" customFormat="false" ht="15.75" hidden="false" customHeight="false" outlineLevel="0" collapsed="false">
      <c r="D787" s="264"/>
      <c r="E787" s="265"/>
      <c r="F787" s="265"/>
      <c r="G787" s="265"/>
      <c r="H787" s="265"/>
      <c r="I787" s="265"/>
      <c r="J787" s="266"/>
      <c r="K787" s="266"/>
    </row>
    <row r="788" customFormat="false" ht="15.75" hidden="false" customHeight="false" outlineLevel="0" collapsed="false">
      <c r="D788" s="264"/>
      <c r="E788" s="265"/>
      <c r="F788" s="265"/>
      <c r="G788" s="265"/>
      <c r="H788" s="265"/>
      <c r="I788" s="265"/>
      <c r="J788" s="266"/>
      <c r="K788" s="266"/>
    </row>
    <row r="789" customFormat="false" ht="15.75" hidden="false" customHeight="false" outlineLevel="0" collapsed="false">
      <c r="D789" s="264"/>
      <c r="E789" s="265"/>
      <c r="F789" s="265"/>
      <c r="G789" s="265"/>
      <c r="H789" s="265"/>
      <c r="I789" s="265"/>
      <c r="J789" s="266"/>
      <c r="K789" s="266"/>
    </row>
    <row r="790" customFormat="false" ht="15.75" hidden="false" customHeight="false" outlineLevel="0" collapsed="false">
      <c r="D790" s="264"/>
      <c r="E790" s="265"/>
      <c r="F790" s="265"/>
      <c r="G790" s="265"/>
      <c r="H790" s="265"/>
      <c r="I790" s="265"/>
      <c r="J790" s="266"/>
      <c r="K790" s="266"/>
    </row>
    <row r="791" customFormat="false" ht="15.75" hidden="false" customHeight="false" outlineLevel="0" collapsed="false">
      <c r="D791" s="264"/>
      <c r="E791" s="265"/>
      <c r="F791" s="265"/>
      <c r="G791" s="265"/>
      <c r="H791" s="265"/>
      <c r="I791" s="265"/>
      <c r="J791" s="266"/>
      <c r="K791" s="266"/>
    </row>
    <row r="792" customFormat="false" ht="15.75" hidden="false" customHeight="false" outlineLevel="0" collapsed="false">
      <c r="D792" s="264"/>
      <c r="E792" s="265"/>
      <c r="F792" s="265"/>
      <c r="G792" s="265"/>
      <c r="H792" s="265"/>
      <c r="I792" s="265"/>
      <c r="J792" s="266"/>
      <c r="K792" s="266"/>
    </row>
    <row r="793" customFormat="false" ht="15.75" hidden="false" customHeight="false" outlineLevel="0" collapsed="false">
      <c r="D793" s="264"/>
      <c r="E793" s="265"/>
      <c r="F793" s="265"/>
      <c r="G793" s="265"/>
      <c r="H793" s="265"/>
      <c r="I793" s="265"/>
      <c r="J793" s="266"/>
      <c r="K793" s="266"/>
    </row>
    <row r="794" customFormat="false" ht="15.75" hidden="false" customHeight="false" outlineLevel="0" collapsed="false">
      <c r="D794" s="264"/>
      <c r="E794" s="265"/>
      <c r="F794" s="265"/>
      <c r="G794" s="265"/>
      <c r="H794" s="265"/>
      <c r="I794" s="265"/>
      <c r="J794" s="266"/>
      <c r="K794" s="266"/>
    </row>
    <row r="795" customFormat="false" ht="15.75" hidden="false" customHeight="false" outlineLevel="0" collapsed="false">
      <c r="D795" s="264"/>
      <c r="E795" s="265"/>
      <c r="F795" s="265"/>
      <c r="G795" s="265"/>
      <c r="H795" s="265"/>
      <c r="I795" s="265"/>
      <c r="J795" s="266"/>
      <c r="K795" s="266"/>
    </row>
    <row r="796" customFormat="false" ht="15.75" hidden="false" customHeight="false" outlineLevel="0" collapsed="false">
      <c r="D796" s="264"/>
      <c r="E796" s="265"/>
      <c r="F796" s="265"/>
      <c r="G796" s="265"/>
      <c r="H796" s="265"/>
      <c r="I796" s="265"/>
      <c r="J796" s="266"/>
      <c r="K796" s="266"/>
    </row>
    <row r="797" customFormat="false" ht="15.75" hidden="false" customHeight="false" outlineLevel="0" collapsed="false">
      <c r="D797" s="264"/>
      <c r="E797" s="265"/>
      <c r="F797" s="265"/>
      <c r="G797" s="265"/>
      <c r="H797" s="265"/>
      <c r="I797" s="265"/>
      <c r="J797" s="266"/>
      <c r="K797" s="266"/>
    </row>
    <row r="798" customFormat="false" ht="15.75" hidden="false" customHeight="false" outlineLevel="0" collapsed="false">
      <c r="D798" s="264"/>
      <c r="E798" s="265"/>
      <c r="F798" s="265"/>
      <c r="G798" s="265"/>
      <c r="H798" s="265"/>
      <c r="I798" s="265"/>
      <c r="J798" s="266"/>
      <c r="K798" s="266"/>
    </row>
    <row r="799" customFormat="false" ht="15.75" hidden="false" customHeight="false" outlineLevel="0" collapsed="false">
      <c r="D799" s="264"/>
      <c r="E799" s="265"/>
      <c r="F799" s="265"/>
      <c r="G799" s="265"/>
      <c r="H799" s="265"/>
      <c r="I799" s="265"/>
      <c r="J799" s="266"/>
      <c r="K799" s="266"/>
    </row>
    <row r="800" customFormat="false" ht="15.75" hidden="false" customHeight="false" outlineLevel="0" collapsed="false">
      <c r="D800" s="264"/>
      <c r="E800" s="265"/>
      <c r="F800" s="265"/>
      <c r="G800" s="265"/>
      <c r="H800" s="265"/>
      <c r="I800" s="265"/>
      <c r="J800" s="266"/>
      <c r="K800" s="266"/>
    </row>
    <row r="801" customFormat="false" ht="15.75" hidden="false" customHeight="false" outlineLevel="0" collapsed="false">
      <c r="D801" s="264"/>
      <c r="E801" s="265"/>
      <c r="F801" s="265"/>
      <c r="G801" s="265"/>
      <c r="H801" s="265"/>
      <c r="I801" s="265"/>
      <c r="J801" s="266"/>
      <c r="K801" s="266"/>
    </row>
    <row r="802" customFormat="false" ht="15.75" hidden="false" customHeight="false" outlineLevel="0" collapsed="false">
      <c r="D802" s="264"/>
      <c r="E802" s="265"/>
      <c r="F802" s="265"/>
      <c r="G802" s="265"/>
      <c r="H802" s="265"/>
      <c r="I802" s="265"/>
      <c r="J802" s="266"/>
      <c r="K802" s="266"/>
    </row>
    <row r="803" customFormat="false" ht="15.75" hidden="false" customHeight="false" outlineLevel="0" collapsed="false">
      <c r="D803" s="264"/>
      <c r="E803" s="265"/>
      <c r="F803" s="265"/>
      <c r="G803" s="265"/>
      <c r="H803" s="265"/>
      <c r="I803" s="265"/>
      <c r="J803" s="266"/>
      <c r="K803" s="266"/>
    </row>
    <row r="804" customFormat="false" ht="15.75" hidden="false" customHeight="false" outlineLevel="0" collapsed="false">
      <c r="D804" s="264"/>
      <c r="E804" s="265"/>
      <c r="F804" s="265"/>
      <c r="G804" s="265"/>
      <c r="H804" s="265"/>
      <c r="I804" s="265"/>
      <c r="J804" s="266"/>
      <c r="K804" s="266"/>
    </row>
    <row r="805" customFormat="false" ht="15.75" hidden="false" customHeight="false" outlineLevel="0" collapsed="false">
      <c r="D805" s="264"/>
      <c r="E805" s="265"/>
      <c r="F805" s="265"/>
      <c r="G805" s="265"/>
      <c r="H805" s="265"/>
      <c r="I805" s="265"/>
      <c r="J805" s="266"/>
      <c r="K805" s="266"/>
    </row>
    <row r="806" customFormat="false" ht="15.75" hidden="false" customHeight="false" outlineLevel="0" collapsed="false">
      <c r="D806" s="264"/>
      <c r="E806" s="265"/>
      <c r="F806" s="265"/>
      <c r="G806" s="265"/>
      <c r="H806" s="265"/>
      <c r="I806" s="265"/>
      <c r="J806" s="266"/>
      <c r="K806" s="266"/>
    </row>
    <row r="807" customFormat="false" ht="15.75" hidden="false" customHeight="false" outlineLevel="0" collapsed="false">
      <c r="D807" s="264"/>
      <c r="E807" s="265"/>
      <c r="F807" s="265"/>
      <c r="G807" s="265"/>
      <c r="H807" s="265"/>
      <c r="I807" s="265"/>
      <c r="J807" s="266"/>
      <c r="K807" s="266"/>
    </row>
    <row r="808" customFormat="false" ht="15.75" hidden="false" customHeight="false" outlineLevel="0" collapsed="false">
      <c r="D808" s="264"/>
      <c r="E808" s="265"/>
      <c r="F808" s="265"/>
      <c r="G808" s="265"/>
      <c r="H808" s="265"/>
      <c r="I808" s="265"/>
      <c r="J808" s="266"/>
      <c r="K808" s="266"/>
    </row>
    <row r="809" customFormat="false" ht="15.75" hidden="false" customHeight="false" outlineLevel="0" collapsed="false">
      <c r="D809" s="264"/>
      <c r="E809" s="265"/>
      <c r="F809" s="265"/>
      <c r="G809" s="265"/>
      <c r="H809" s="265"/>
      <c r="I809" s="265"/>
      <c r="J809" s="266"/>
      <c r="K809" s="266"/>
    </row>
    <row r="810" customFormat="false" ht="15.75" hidden="false" customHeight="false" outlineLevel="0" collapsed="false">
      <c r="D810" s="264"/>
      <c r="E810" s="265"/>
      <c r="F810" s="265"/>
      <c r="G810" s="265"/>
      <c r="H810" s="265"/>
      <c r="I810" s="265"/>
      <c r="J810" s="266"/>
      <c r="K810" s="266"/>
    </row>
    <row r="811" customFormat="false" ht="15.75" hidden="false" customHeight="false" outlineLevel="0" collapsed="false">
      <c r="D811" s="264"/>
      <c r="E811" s="265"/>
      <c r="F811" s="265"/>
      <c r="G811" s="265"/>
      <c r="H811" s="265"/>
      <c r="I811" s="265"/>
      <c r="J811" s="266"/>
      <c r="K811" s="266"/>
    </row>
    <row r="812" customFormat="false" ht="15.75" hidden="false" customHeight="false" outlineLevel="0" collapsed="false">
      <c r="D812" s="264"/>
      <c r="E812" s="265"/>
      <c r="F812" s="265"/>
      <c r="G812" s="265"/>
      <c r="H812" s="265"/>
      <c r="I812" s="265"/>
      <c r="J812" s="266"/>
      <c r="K812" s="266"/>
    </row>
    <row r="813" customFormat="false" ht="15.75" hidden="false" customHeight="false" outlineLevel="0" collapsed="false">
      <c r="D813" s="264"/>
      <c r="E813" s="265"/>
      <c r="F813" s="265"/>
      <c r="G813" s="265"/>
      <c r="H813" s="265"/>
      <c r="I813" s="265"/>
      <c r="J813" s="266"/>
      <c r="K813" s="266"/>
    </row>
    <row r="814" customFormat="false" ht="15.75" hidden="false" customHeight="false" outlineLevel="0" collapsed="false">
      <c r="D814" s="264"/>
      <c r="E814" s="265"/>
      <c r="F814" s="265"/>
      <c r="G814" s="265"/>
      <c r="H814" s="265"/>
      <c r="I814" s="265"/>
      <c r="J814" s="266"/>
      <c r="K814" s="266"/>
    </row>
    <row r="815" customFormat="false" ht="15.75" hidden="false" customHeight="false" outlineLevel="0" collapsed="false">
      <c r="D815" s="264"/>
      <c r="E815" s="265"/>
      <c r="F815" s="265"/>
      <c r="G815" s="265"/>
      <c r="H815" s="265"/>
      <c r="I815" s="265"/>
      <c r="J815" s="266"/>
      <c r="K815" s="266"/>
    </row>
    <row r="816" customFormat="false" ht="15.75" hidden="false" customHeight="false" outlineLevel="0" collapsed="false">
      <c r="D816" s="264"/>
      <c r="E816" s="265"/>
      <c r="F816" s="265"/>
      <c r="G816" s="265"/>
      <c r="H816" s="265"/>
      <c r="I816" s="265"/>
      <c r="J816" s="266"/>
      <c r="K816" s="266"/>
    </row>
    <row r="817" customFormat="false" ht="15.75" hidden="false" customHeight="false" outlineLevel="0" collapsed="false">
      <c r="D817" s="264"/>
      <c r="E817" s="265"/>
      <c r="F817" s="265"/>
      <c r="G817" s="265"/>
      <c r="H817" s="265"/>
      <c r="I817" s="265"/>
      <c r="J817" s="266"/>
      <c r="K817" s="266"/>
    </row>
    <row r="818" customFormat="false" ht="15.75" hidden="false" customHeight="false" outlineLevel="0" collapsed="false">
      <c r="D818" s="264"/>
      <c r="E818" s="265"/>
      <c r="F818" s="265"/>
      <c r="G818" s="265"/>
      <c r="H818" s="265"/>
      <c r="I818" s="265"/>
      <c r="J818" s="266"/>
      <c r="K818" s="266"/>
    </row>
    <row r="819" customFormat="false" ht="15.75" hidden="false" customHeight="false" outlineLevel="0" collapsed="false">
      <c r="D819" s="264"/>
      <c r="E819" s="265"/>
      <c r="F819" s="265"/>
      <c r="G819" s="265"/>
      <c r="H819" s="265"/>
      <c r="I819" s="265"/>
      <c r="J819" s="266"/>
      <c r="K819" s="266"/>
    </row>
    <row r="820" customFormat="false" ht="15.75" hidden="false" customHeight="false" outlineLevel="0" collapsed="false">
      <c r="D820" s="264"/>
      <c r="E820" s="265"/>
      <c r="F820" s="265"/>
      <c r="G820" s="265"/>
      <c r="H820" s="265"/>
      <c r="I820" s="265"/>
      <c r="J820" s="266"/>
      <c r="K820" s="266"/>
    </row>
    <row r="821" customFormat="false" ht="15.75" hidden="false" customHeight="false" outlineLevel="0" collapsed="false">
      <c r="D821" s="264"/>
      <c r="E821" s="265"/>
      <c r="F821" s="265"/>
      <c r="G821" s="265"/>
      <c r="H821" s="265"/>
      <c r="I821" s="265"/>
      <c r="J821" s="266"/>
      <c r="K821" s="266"/>
    </row>
    <row r="822" customFormat="false" ht="15.75" hidden="false" customHeight="false" outlineLevel="0" collapsed="false">
      <c r="D822" s="264"/>
      <c r="E822" s="265"/>
      <c r="F822" s="265"/>
      <c r="G822" s="265"/>
      <c r="H822" s="265"/>
      <c r="I822" s="265"/>
      <c r="J822" s="266"/>
      <c r="K822" s="266"/>
    </row>
    <row r="823" customFormat="false" ht="15.75" hidden="false" customHeight="false" outlineLevel="0" collapsed="false">
      <c r="D823" s="264"/>
      <c r="E823" s="265"/>
      <c r="F823" s="265"/>
      <c r="G823" s="265"/>
      <c r="H823" s="265"/>
      <c r="I823" s="265"/>
      <c r="J823" s="266"/>
      <c r="K823" s="266"/>
    </row>
    <row r="824" customFormat="false" ht="15.75" hidden="false" customHeight="false" outlineLevel="0" collapsed="false">
      <c r="D824" s="264"/>
      <c r="E824" s="265"/>
      <c r="F824" s="265"/>
      <c r="G824" s="265"/>
      <c r="H824" s="265"/>
      <c r="I824" s="265"/>
      <c r="J824" s="266"/>
      <c r="K824" s="266"/>
    </row>
    <row r="825" customFormat="false" ht="15.75" hidden="false" customHeight="false" outlineLevel="0" collapsed="false">
      <c r="D825" s="264"/>
      <c r="E825" s="265"/>
      <c r="F825" s="265"/>
      <c r="G825" s="265"/>
      <c r="H825" s="265"/>
      <c r="I825" s="265"/>
      <c r="J825" s="266"/>
      <c r="K825" s="266"/>
    </row>
    <row r="826" customFormat="false" ht="15.75" hidden="false" customHeight="false" outlineLevel="0" collapsed="false">
      <c r="D826" s="264"/>
      <c r="E826" s="265"/>
      <c r="F826" s="265"/>
      <c r="G826" s="265"/>
      <c r="H826" s="265"/>
      <c r="I826" s="265"/>
      <c r="J826" s="266"/>
      <c r="K826" s="266"/>
    </row>
    <row r="827" customFormat="false" ht="15.75" hidden="false" customHeight="false" outlineLevel="0" collapsed="false">
      <c r="D827" s="264"/>
      <c r="E827" s="265"/>
      <c r="F827" s="265"/>
      <c r="G827" s="265"/>
      <c r="H827" s="265"/>
      <c r="I827" s="265"/>
      <c r="J827" s="266"/>
      <c r="K827" s="266"/>
    </row>
    <row r="828" customFormat="false" ht="15.75" hidden="false" customHeight="false" outlineLevel="0" collapsed="false">
      <c r="D828" s="264"/>
      <c r="E828" s="265"/>
      <c r="F828" s="265"/>
      <c r="G828" s="265"/>
      <c r="H828" s="265"/>
      <c r="I828" s="265"/>
      <c r="J828" s="266"/>
      <c r="K828" s="266"/>
    </row>
    <row r="829" customFormat="false" ht="15.75" hidden="false" customHeight="false" outlineLevel="0" collapsed="false">
      <c r="D829" s="264"/>
      <c r="E829" s="265"/>
      <c r="F829" s="265"/>
      <c r="G829" s="265"/>
      <c r="H829" s="265"/>
      <c r="I829" s="265"/>
      <c r="J829" s="266"/>
      <c r="K829" s="266"/>
    </row>
    <row r="830" customFormat="false" ht="15.75" hidden="false" customHeight="false" outlineLevel="0" collapsed="false">
      <c r="D830" s="264"/>
      <c r="E830" s="265"/>
      <c r="F830" s="265"/>
      <c r="G830" s="265"/>
      <c r="H830" s="265"/>
      <c r="I830" s="265"/>
      <c r="J830" s="266"/>
      <c r="K830" s="266"/>
    </row>
    <row r="831" customFormat="false" ht="15.75" hidden="false" customHeight="false" outlineLevel="0" collapsed="false">
      <c r="D831" s="264"/>
      <c r="E831" s="265"/>
      <c r="F831" s="265"/>
      <c r="G831" s="265"/>
      <c r="H831" s="265"/>
      <c r="I831" s="265"/>
      <c r="J831" s="266"/>
      <c r="K831" s="266"/>
    </row>
    <row r="832" customFormat="false" ht="15.75" hidden="false" customHeight="false" outlineLevel="0" collapsed="false">
      <c r="D832" s="264"/>
      <c r="E832" s="265"/>
      <c r="F832" s="265"/>
      <c r="G832" s="265"/>
      <c r="H832" s="265"/>
      <c r="I832" s="265"/>
      <c r="J832" s="266"/>
      <c r="K832" s="266"/>
    </row>
    <row r="833" customFormat="false" ht="15.75" hidden="false" customHeight="false" outlineLevel="0" collapsed="false">
      <c r="D833" s="264"/>
      <c r="E833" s="265"/>
      <c r="F833" s="265"/>
      <c r="G833" s="265"/>
      <c r="H833" s="265"/>
      <c r="I833" s="265"/>
      <c r="J833" s="266"/>
      <c r="K833" s="266"/>
    </row>
    <row r="834" customFormat="false" ht="15.75" hidden="false" customHeight="false" outlineLevel="0" collapsed="false">
      <c r="D834" s="264"/>
      <c r="E834" s="265"/>
      <c r="F834" s="265"/>
      <c r="G834" s="265"/>
      <c r="H834" s="265"/>
      <c r="I834" s="265"/>
      <c r="J834" s="266"/>
      <c r="K834" s="266"/>
    </row>
    <row r="835" customFormat="false" ht="15.75" hidden="false" customHeight="false" outlineLevel="0" collapsed="false">
      <c r="D835" s="264"/>
      <c r="E835" s="265"/>
      <c r="F835" s="265"/>
      <c r="G835" s="265"/>
      <c r="H835" s="265"/>
      <c r="I835" s="265"/>
      <c r="J835" s="266"/>
      <c r="K835" s="266"/>
    </row>
    <row r="836" customFormat="false" ht="15.75" hidden="false" customHeight="false" outlineLevel="0" collapsed="false">
      <c r="D836" s="264"/>
      <c r="E836" s="265"/>
      <c r="F836" s="265"/>
      <c r="G836" s="265"/>
      <c r="H836" s="265"/>
      <c r="I836" s="265"/>
      <c r="J836" s="266"/>
      <c r="K836" s="266"/>
    </row>
    <row r="837" customFormat="false" ht="15.75" hidden="false" customHeight="false" outlineLevel="0" collapsed="false">
      <c r="D837" s="264"/>
      <c r="E837" s="265"/>
      <c r="F837" s="265"/>
      <c r="G837" s="265"/>
      <c r="H837" s="265"/>
      <c r="I837" s="265"/>
      <c r="J837" s="266"/>
      <c r="K837" s="266"/>
    </row>
    <row r="838" customFormat="false" ht="15.75" hidden="false" customHeight="false" outlineLevel="0" collapsed="false">
      <c r="D838" s="264"/>
      <c r="E838" s="265"/>
      <c r="F838" s="265"/>
      <c r="G838" s="265"/>
      <c r="H838" s="265"/>
      <c r="I838" s="265"/>
      <c r="J838" s="266"/>
      <c r="K838" s="266"/>
    </row>
    <row r="839" customFormat="false" ht="15.75" hidden="false" customHeight="false" outlineLevel="0" collapsed="false">
      <c r="D839" s="264"/>
      <c r="E839" s="265"/>
      <c r="F839" s="265"/>
      <c r="G839" s="265"/>
      <c r="H839" s="265"/>
      <c r="I839" s="265"/>
      <c r="J839" s="266"/>
      <c r="K839" s="266"/>
    </row>
    <row r="840" customFormat="false" ht="15.75" hidden="false" customHeight="false" outlineLevel="0" collapsed="false">
      <c r="D840" s="264"/>
      <c r="E840" s="265"/>
      <c r="F840" s="265"/>
      <c r="G840" s="265"/>
      <c r="H840" s="265"/>
      <c r="I840" s="265"/>
      <c r="J840" s="266"/>
      <c r="K840" s="266"/>
    </row>
    <row r="841" customFormat="false" ht="15.75" hidden="false" customHeight="false" outlineLevel="0" collapsed="false">
      <c r="D841" s="264"/>
      <c r="E841" s="265"/>
      <c r="F841" s="265"/>
      <c r="G841" s="265"/>
      <c r="H841" s="265"/>
      <c r="I841" s="265"/>
      <c r="J841" s="266"/>
      <c r="K841" s="266"/>
    </row>
    <row r="842" customFormat="false" ht="15.75" hidden="false" customHeight="false" outlineLevel="0" collapsed="false">
      <c r="D842" s="264"/>
      <c r="E842" s="265"/>
      <c r="F842" s="265"/>
      <c r="G842" s="265"/>
      <c r="H842" s="265"/>
      <c r="I842" s="265"/>
      <c r="J842" s="266"/>
      <c r="K842" s="266"/>
    </row>
    <row r="843" customFormat="false" ht="15.75" hidden="false" customHeight="false" outlineLevel="0" collapsed="false">
      <c r="D843" s="264"/>
      <c r="E843" s="265"/>
      <c r="F843" s="265"/>
      <c r="G843" s="265"/>
      <c r="H843" s="265"/>
      <c r="I843" s="265"/>
      <c r="J843" s="266"/>
      <c r="K843" s="266"/>
    </row>
    <row r="844" customFormat="false" ht="15.75" hidden="false" customHeight="false" outlineLevel="0" collapsed="false">
      <c r="D844" s="264"/>
      <c r="E844" s="265"/>
      <c r="F844" s="265"/>
      <c r="G844" s="265"/>
      <c r="H844" s="265"/>
      <c r="I844" s="265"/>
      <c r="J844" s="266"/>
      <c r="K844" s="266"/>
    </row>
    <row r="845" customFormat="false" ht="15.75" hidden="false" customHeight="false" outlineLevel="0" collapsed="false">
      <c r="D845" s="264"/>
      <c r="E845" s="265"/>
      <c r="F845" s="265"/>
      <c r="G845" s="265"/>
      <c r="H845" s="265"/>
      <c r="I845" s="265"/>
      <c r="J845" s="266"/>
      <c r="K845" s="266"/>
    </row>
    <row r="846" customFormat="false" ht="15.75" hidden="false" customHeight="false" outlineLevel="0" collapsed="false">
      <c r="D846" s="264"/>
      <c r="E846" s="265"/>
      <c r="F846" s="265"/>
      <c r="G846" s="265"/>
      <c r="H846" s="265"/>
      <c r="I846" s="265"/>
      <c r="J846" s="266"/>
      <c r="K846" s="266"/>
    </row>
    <row r="847" customFormat="false" ht="15.75" hidden="false" customHeight="false" outlineLevel="0" collapsed="false">
      <c r="D847" s="264"/>
      <c r="E847" s="265"/>
      <c r="F847" s="265"/>
      <c r="G847" s="265"/>
      <c r="H847" s="265"/>
      <c r="I847" s="265"/>
      <c r="J847" s="266"/>
      <c r="K847" s="266"/>
    </row>
    <row r="848" customFormat="false" ht="15.75" hidden="false" customHeight="false" outlineLevel="0" collapsed="false">
      <c r="D848" s="264"/>
      <c r="E848" s="265"/>
      <c r="F848" s="265"/>
      <c r="G848" s="265"/>
      <c r="H848" s="265"/>
      <c r="I848" s="265"/>
      <c r="J848" s="266"/>
      <c r="K848" s="266"/>
    </row>
    <row r="849" customFormat="false" ht="15.75" hidden="false" customHeight="false" outlineLevel="0" collapsed="false">
      <c r="D849" s="264"/>
      <c r="E849" s="265"/>
      <c r="F849" s="265"/>
      <c r="G849" s="265"/>
      <c r="H849" s="265"/>
      <c r="I849" s="265"/>
      <c r="J849" s="266"/>
      <c r="K849" s="266"/>
    </row>
    <row r="850" customFormat="false" ht="15.75" hidden="false" customHeight="false" outlineLevel="0" collapsed="false">
      <c r="D850" s="264"/>
      <c r="E850" s="265"/>
      <c r="F850" s="265"/>
      <c r="G850" s="265"/>
      <c r="H850" s="265"/>
      <c r="I850" s="265"/>
      <c r="J850" s="266"/>
      <c r="K850" s="266"/>
    </row>
    <row r="851" customFormat="false" ht="15.75" hidden="false" customHeight="false" outlineLevel="0" collapsed="false">
      <c r="D851" s="264"/>
      <c r="E851" s="265"/>
      <c r="F851" s="265"/>
      <c r="G851" s="265"/>
      <c r="H851" s="265"/>
      <c r="I851" s="265"/>
      <c r="J851" s="266"/>
      <c r="K851" s="266"/>
    </row>
    <row r="852" customFormat="false" ht="15.75" hidden="false" customHeight="false" outlineLevel="0" collapsed="false">
      <c r="D852" s="264"/>
      <c r="E852" s="265"/>
      <c r="F852" s="265"/>
      <c r="G852" s="265"/>
      <c r="H852" s="265"/>
      <c r="I852" s="265"/>
      <c r="J852" s="266"/>
      <c r="K852" s="266"/>
    </row>
    <row r="853" customFormat="false" ht="15.75" hidden="false" customHeight="false" outlineLevel="0" collapsed="false">
      <c r="D853" s="264"/>
      <c r="E853" s="265"/>
      <c r="F853" s="265"/>
      <c r="G853" s="265"/>
      <c r="H853" s="265"/>
      <c r="I853" s="265"/>
      <c r="J853" s="266"/>
      <c r="K853" s="266"/>
    </row>
    <row r="854" customFormat="false" ht="15.75" hidden="false" customHeight="false" outlineLevel="0" collapsed="false">
      <c r="D854" s="264"/>
      <c r="E854" s="265"/>
      <c r="F854" s="265"/>
      <c r="G854" s="265"/>
      <c r="H854" s="265"/>
      <c r="I854" s="265"/>
      <c r="J854" s="266"/>
      <c r="K854" s="266"/>
    </row>
    <row r="855" customFormat="false" ht="15.75" hidden="false" customHeight="false" outlineLevel="0" collapsed="false">
      <c r="D855" s="264"/>
      <c r="E855" s="265"/>
      <c r="F855" s="265"/>
      <c r="G855" s="265"/>
      <c r="H855" s="265"/>
      <c r="I855" s="265"/>
      <c r="J855" s="266"/>
      <c r="K855" s="266"/>
    </row>
    <row r="856" customFormat="false" ht="15.75" hidden="false" customHeight="false" outlineLevel="0" collapsed="false">
      <c r="D856" s="264"/>
      <c r="E856" s="265"/>
      <c r="F856" s="265"/>
      <c r="G856" s="265"/>
      <c r="H856" s="265"/>
      <c r="I856" s="265"/>
      <c r="J856" s="266"/>
      <c r="K856" s="266"/>
    </row>
    <row r="857" customFormat="false" ht="15.75" hidden="false" customHeight="false" outlineLevel="0" collapsed="false">
      <c r="D857" s="264"/>
      <c r="E857" s="265"/>
      <c r="F857" s="265"/>
      <c r="G857" s="265"/>
      <c r="H857" s="265"/>
      <c r="I857" s="265"/>
      <c r="J857" s="266"/>
      <c r="K857" s="266"/>
    </row>
    <row r="858" customFormat="false" ht="15.75" hidden="false" customHeight="false" outlineLevel="0" collapsed="false">
      <c r="D858" s="264"/>
      <c r="E858" s="265"/>
      <c r="F858" s="265"/>
      <c r="G858" s="265"/>
      <c r="H858" s="265"/>
      <c r="I858" s="265"/>
      <c r="J858" s="266"/>
      <c r="K858" s="266"/>
    </row>
    <row r="859" customFormat="false" ht="15.75" hidden="false" customHeight="false" outlineLevel="0" collapsed="false">
      <c r="D859" s="264"/>
      <c r="E859" s="265"/>
      <c r="F859" s="265"/>
      <c r="G859" s="265"/>
      <c r="H859" s="265"/>
      <c r="I859" s="265"/>
      <c r="J859" s="266"/>
      <c r="K859" s="266"/>
    </row>
    <row r="860" customFormat="false" ht="15.75" hidden="false" customHeight="false" outlineLevel="0" collapsed="false">
      <c r="D860" s="264"/>
      <c r="E860" s="265"/>
      <c r="F860" s="265"/>
      <c r="G860" s="265"/>
      <c r="H860" s="265"/>
      <c r="I860" s="265"/>
      <c r="J860" s="266"/>
      <c r="K860" s="266"/>
    </row>
    <row r="861" customFormat="false" ht="15.75" hidden="false" customHeight="false" outlineLevel="0" collapsed="false">
      <c r="D861" s="264"/>
      <c r="E861" s="265"/>
      <c r="F861" s="265"/>
      <c r="G861" s="265"/>
      <c r="H861" s="265"/>
      <c r="I861" s="265"/>
      <c r="J861" s="266"/>
      <c r="K861" s="266"/>
    </row>
    <row r="862" customFormat="false" ht="15.75" hidden="false" customHeight="false" outlineLevel="0" collapsed="false">
      <c r="D862" s="264"/>
      <c r="E862" s="265"/>
      <c r="F862" s="265"/>
      <c r="G862" s="265"/>
      <c r="H862" s="265"/>
      <c r="I862" s="265"/>
      <c r="J862" s="266"/>
      <c r="K862" s="266"/>
    </row>
    <row r="863" customFormat="false" ht="15.75" hidden="false" customHeight="false" outlineLevel="0" collapsed="false">
      <c r="D863" s="264"/>
      <c r="E863" s="265"/>
      <c r="F863" s="265"/>
      <c r="G863" s="265"/>
      <c r="H863" s="265"/>
      <c r="I863" s="265"/>
      <c r="J863" s="266"/>
      <c r="K863" s="266"/>
    </row>
    <row r="864" customFormat="false" ht="15.75" hidden="false" customHeight="false" outlineLevel="0" collapsed="false">
      <c r="D864" s="264"/>
      <c r="E864" s="265"/>
      <c r="F864" s="265"/>
      <c r="G864" s="265"/>
      <c r="H864" s="265"/>
      <c r="I864" s="265"/>
      <c r="J864" s="266"/>
      <c r="K864" s="266"/>
    </row>
    <row r="865" customFormat="false" ht="15.75" hidden="false" customHeight="false" outlineLevel="0" collapsed="false">
      <c r="D865" s="264"/>
      <c r="E865" s="265"/>
      <c r="F865" s="265"/>
      <c r="G865" s="265"/>
      <c r="H865" s="265"/>
      <c r="I865" s="265"/>
      <c r="J865" s="266"/>
      <c r="K865" s="266"/>
    </row>
    <row r="866" customFormat="false" ht="15.75" hidden="false" customHeight="false" outlineLevel="0" collapsed="false">
      <c r="D866" s="264"/>
      <c r="E866" s="265"/>
      <c r="F866" s="265"/>
      <c r="G866" s="265"/>
      <c r="H866" s="265"/>
      <c r="I866" s="265"/>
      <c r="J866" s="266"/>
      <c r="K866" s="266"/>
    </row>
    <row r="867" customFormat="false" ht="15.75" hidden="false" customHeight="false" outlineLevel="0" collapsed="false">
      <c r="D867" s="264"/>
      <c r="E867" s="265"/>
      <c r="F867" s="265"/>
      <c r="G867" s="265"/>
      <c r="H867" s="265"/>
      <c r="I867" s="265"/>
      <c r="J867" s="266"/>
      <c r="K867" s="266"/>
    </row>
    <row r="868" customFormat="false" ht="15.75" hidden="false" customHeight="false" outlineLevel="0" collapsed="false">
      <c r="D868" s="264"/>
      <c r="E868" s="265"/>
      <c r="F868" s="265"/>
      <c r="G868" s="265"/>
      <c r="H868" s="265"/>
      <c r="I868" s="265"/>
      <c r="J868" s="266"/>
      <c r="K868" s="266"/>
    </row>
    <row r="869" customFormat="false" ht="15.75" hidden="false" customHeight="false" outlineLevel="0" collapsed="false">
      <c r="D869" s="264"/>
      <c r="E869" s="265"/>
      <c r="F869" s="265"/>
      <c r="G869" s="265"/>
      <c r="H869" s="265"/>
      <c r="I869" s="265"/>
      <c r="J869" s="266"/>
      <c r="K869" s="266"/>
    </row>
    <row r="870" customFormat="false" ht="15.75" hidden="false" customHeight="false" outlineLevel="0" collapsed="false">
      <c r="D870" s="264"/>
      <c r="E870" s="265"/>
      <c r="F870" s="265"/>
      <c r="G870" s="265"/>
      <c r="H870" s="265"/>
      <c r="I870" s="265"/>
      <c r="J870" s="266"/>
      <c r="K870" s="266"/>
    </row>
    <row r="871" customFormat="false" ht="15.75" hidden="false" customHeight="false" outlineLevel="0" collapsed="false">
      <c r="D871" s="264"/>
      <c r="E871" s="265"/>
      <c r="F871" s="265"/>
      <c r="G871" s="265"/>
      <c r="H871" s="265"/>
      <c r="I871" s="265"/>
      <c r="J871" s="266"/>
      <c r="K871" s="266"/>
    </row>
    <row r="872" customFormat="false" ht="15.75" hidden="false" customHeight="false" outlineLevel="0" collapsed="false">
      <c r="D872" s="264"/>
      <c r="E872" s="265"/>
      <c r="F872" s="265"/>
      <c r="G872" s="265"/>
      <c r="H872" s="265"/>
      <c r="I872" s="265"/>
      <c r="J872" s="266"/>
      <c r="K872" s="266"/>
    </row>
    <row r="873" customFormat="false" ht="15.75" hidden="false" customHeight="false" outlineLevel="0" collapsed="false">
      <c r="D873" s="264"/>
      <c r="E873" s="265"/>
      <c r="F873" s="265"/>
      <c r="G873" s="265"/>
      <c r="H873" s="265"/>
      <c r="I873" s="265"/>
      <c r="J873" s="266"/>
      <c r="K873" s="266"/>
    </row>
    <row r="874" customFormat="false" ht="15.75" hidden="false" customHeight="false" outlineLevel="0" collapsed="false">
      <c r="D874" s="264"/>
      <c r="E874" s="265"/>
      <c r="F874" s="265"/>
      <c r="G874" s="265"/>
      <c r="H874" s="265"/>
      <c r="I874" s="265"/>
      <c r="J874" s="266"/>
      <c r="K874" s="266"/>
    </row>
    <row r="875" customFormat="false" ht="15.75" hidden="false" customHeight="false" outlineLevel="0" collapsed="false">
      <c r="D875" s="264"/>
      <c r="E875" s="265"/>
      <c r="F875" s="265"/>
      <c r="G875" s="265"/>
      <c r="H875" s="265"/>
      <c r="I875" s="265"/>
      <c r="J875" s="266"/>
      <c r="K875" s="266"/>
    </row>
    <row r="876" customFormat="false" ht="15.75" hidden="false" customHeight="false" outlineLevel="0" collapsed="false">
      <c r="D876" s="264"/>
      <c r="E876" s="265"/>
      <c r="F876" s="265"/>
      <c r="G876" s="265"/>
      <c r="H876" s="265"/>
      <c r="I876" s="265"/>
      <c r="J876" s="266"/>
      <c r="K876" s="266"/>
    </row>
    <row r="877" customFormat="false" ht="15.75" hidden="false" customHeight="false" outlineLevel="0" collapsed="false">
      <c r="D877" s="264"/>
      <c r="E877" s="265"/>
      <c r="F877" s="265"/>
      <c r="G877" s="265"/>
      <c r="H877" s="265"/>
      <c r="I877" s="265"/>
      <c r="J877" s="266"/>
      <c r="K877" s="266"/>
    </row>
    <row r="878" customFormat="false" ht="15.75" hidden="false" customHeight="false" outlineLevel="0" collapsed="false">
      <c r="D878" s="264"/>
      <c r="E878" s="265"/>
      <c r="F878" s="265"/>
      <c r="G878" s="265"/>
      <c r="H878" s="265"/>
      <c r="I878" s="265"/>
      <c r="J878" s="266"/>
      <c r="K878" s="266"/>
    </row>
    <row r="879" customFormat="false" ht="15.75" hidden="false" customHeight="false" outlineLevel="0" collapsed="false">
      <c r="D879" s="264"/>
      <c r="E879" s="265"/>
      <c r="F879" s="265"/>
      <c r="G879" s="265"/>
      <c r="H879" s="265"/>
      <c r="I879" s="265"/>
      <c r="J879" s="266"/>
      <c r="K879" s="266"/>
    </row>
    <row r="880" customFormat="false" ht="15.75" hidden="false" customHeight="false" outlineLevel="0" collapsed="false">
      <c r="D880" s="264"/>
      <c r="E880" s="265"/>
      <c r="F880" s="265"/>
      <c r="G880" s="265"/>
      <c r="H880" s="265"/>
      <c r="I880" s="265"/>
      <c r="J880" s="266"/>
      <c r="K880" s="266"/>
    </row>
    <row r="881" customFormat="false" ht="15.75" hidden="false" customHeight="false" outlineLevel="0" collapsed="false">
      <c r="D881" s="264"/>
      <c r="E881" s="265"/>
      <c r="F881" s="265"/>
      <c r="G881" s="265"/>
      <c r="H881" s="265"/>
      <c r="I881" s="265"/>
      <c r="J881" s="266"/>
      <c r="K881" s="266"/>
    </row>
    <row r="882" customFormat="false" ht="15.75" hidden="false" customHeight="false" outlineLevel="0" collapsed="false">
      <c r="D882" s="264"/>
      <c r="E882" s="265"/>
      <c r="F882" s="265"/>
      <c r="G882" s="265"/>
      <c r="H882" s="265"/>
      <c r="I882" s="265"/>
      <c r="J882" s="266"/>
      <c r="K882" s="266"/>
    </row>
    <row r="883" customFormat="false" ht="15.75" hidden="false" customHeight="false" outlineLevel="0" collapsed="false">
      <c r="D883" s="264"/>
      <c r="E883" s="265"/>
      <c r="F883" s="265"/>
      <c r="G883" s="265"/>
      <c r="H883" s="265"/>
      <c r="I883" s="265"/>
      <c r="J883" s="266"/>
      <c r="K883" s="266"/>
    </row>
    <row r="884" customFormat="false" ht="15.75" hidden="false" customHeight="false" outlineLevel="0" collapsed="false">
      <c r="D884" s="264"/>
      <c r="E884" s="265"/>
      <c r="F884" s="265"/>
      <c r="G884" s="265"/>
      <c r="H884" s="265"/>
      <c r="I884" s="265"/>
      <c r="J884" s="266"/>
      <c r="K884" s="266"/>
    </row>
    <row r="885" customFormat="false" ht="15.75" hidden="false" customHeight="false" outlineLevel="0" collapsed="false">
      <c r="D885" s="264"/>
      <c r="E885" s="265"/>
      <c r="F885" s="265"/>
      <c r="G885" s="265"/>
      <c r="H885" s="265"/>
      <c r="I885" s="265"/>
      <c r="J885" s="266"/>
      <c r="K885" s="266"/>
    </row>
    <row r="886" customFormat="false" ht="15.75" hidden="false" customHeight="false" outlineLevel="0" collapsed="false">
      <c r="D886" s="264"/>
      <c r="E886" s="265"/>
      <c r="F886" s="265"/>
      <c r="G886" s="265"/>
      <c r="H886" s="265"/>
      <c r="I886" s="265"/>
      <c r="J886" s="266"/>
      <c r="K886" s="266"/>
    </row>
    <row r="887" customFormat="false" ht="15.75" hidden="false" customHeight="false" outlineLevel="0" collapsed="false">
      <c r="D887" s="264"/>
      <c r="E887" s="265"/>
      <c r="F887" s="265"/>
      <c r="G887" s="265"/>
      <c r="H887" s="265"/>
      <c r="I887" s="265"/>
      <c r="J887" s="266"/>
      <c r="K887" s="266"/>
    </row>
    <row r="888" customFormat="false" ht="15.75" hidden="false" customHeight="false" outlineLevel="0" collapsed="false">
      <c r="D888" s="264"/>
      <c r="E888" s="265"/>
      <c r="F888" s="265"/>
      <c r="G888" s="265"/>
      <c r="H888" s="265"/>
      <c r="I888" s="265"/>
      <c r="J888" s="266"/>
      <c r="K888" s="266"/>
    </row>
    <row r="889" customFormat="false" ht="15.75" hidden="false" customHeight="false" outlineLevel="0" collapsed="false">
      <c r="D889" s="264"/>
      <c r="E889" s="265"/>
      <c r="F889" s="265"/>
      <c r="G889" s="265"/>
      <c r="H889" s="265"/>
      <c r="I889" s="265"/>
      <c r="J889" s="266"/>
      <c r="K889" s="266"/>
    </row>
    <row r="890" customFormat="false" ht="15.75" hidden="false" customHeight="false" outlineLevel="0" collapsed="false">
      <c r="D890" s="264"/>
      <c r="E890" s="265"/>
      <c r="F890" s="265"/>
      <c r="G890" s="265"/>
      <c r="H890" s="265"/>
      <c r="I890" s="265"/>
      <c r="J890" s="266"/>
      <c r="K890" s="266"/>
    </row>
    <row r="891" customFormat="false" ht="15.75" hidden="false" customHeight="false" outlineLevel="0" collapsed="false">
      <c r="D891" s="264"/>
      <c r="E891" s="265"/>
      <c r="F891" s="265"/>
      <c r="G891" s="265"/>
      <c r="H891" s="265"/>
      <c r="I891" s="265"/>
      <c r="J891" s="266"/>
      <c r="K891" s="266"/>
    </row>
    <row r="892" customFormat="false" ht="15.75" hidden="false" customHeight="false" outlineLevel="0" collapsed="false">
      <c r="D892" s="264"/>
      <c r="E892" s="265"/>
      <c r="F892" s="265"/>
      <c r="G892" s="265"/>
      <c r="H892" s="265"/>
      <c r="I892" s="265"/>
      <c r="J892" s="266"/>
      <c r="K892" s="266"/>
    </row>
    <row r="893" customFormat="false" ht="15.75" hidden="false" customHeight="false" outlineLevel="0" collapsed="false">
      <c r="D893" s="264"/>
      <c r="E893" s="265"/>
      <c r="F893" s="265"/>
      <c r="G893" s="265"/>
      <c r="H893" s="265"/>
      <c r="I893" s="265"/>
      <c r="J893" s="266"/>
      <c r="K893" s="266"/>
    </row>
    <row r="894" customFormat="false" ht="15.75" hidden="false" customHeight="false" outlineLevel="0" collapsed="false">
      <c r="D894" s="264"/>
      <c r="E894" s="265"/>
      <c r="F894" s="265"/>
      <c r="G894" s="265"/>
      <c r="H894" s="265"/>
      <c r="I894" s="265"/>
      <c r="J894" s="266"/>
      <c r="K894" s="266"/>
    </row>
    <row r="895" customFormat="false" ht="15.75" hidden="false" customHeight="false" outlineLevel="0" collapsed="false">
      <c r="D895" s="264"/>
      <c r="E895" s="265"/>
      <c r="F895" s="265"/>
      <c r="G895" s="265"/>
      <c r="H895" s="265"/>
      <c r="I895" s="265"/>
      <c r="J895" s="266"/>
      <c r="K895" s="266"/>
    </row>
    <row r="896" customFormat="false" ht="15.75" hidden="false" customHeight="false" outlineLevel="0" collapsed="false">
      <c r="D896" s="264"/>
      <c r="E896" s="265"/>
      <c r="F896" s="265"/>
      <c r="G896" s="265"/>
      <c r="H896" s="265"/>
      <c r="I896" s="265"/>
      <c r="J896" s="266"/>
      <c r="K896" s="266"/>
    </row>
    <row r="897" customFormat="false" ht="15.75" hidden="false" customHeight="false" outlineLevel="0" collapsed="false">
      <c r="D897" s="264"/>
      <c r="E897" s="265"/>
      <c r="F897" s="265"/>
      <c r="G897" s="265"/>
      <c r="H897" s="265"/>
      <c r="I897" s="265"/>
      <c r="J897" s="266"/>
      <c r="K897" s="266"/>
    </row>
    <row r="898" customFormat="false" ht="15.75" hidden="false" customHeight="false" outlineLevel="0" collapsed="false">
      <c r="D898" s="264"/>
      <c r="E898" s="265"/>
      <c r="F898" s="265"/>
      <c r="G898" s="265"/>
      <c r="H898" s="265"/>
      <c r="I898" s="265"/>
      <c r="J898" s="266"/>
      <c r="K898" s="266"/>
    </row>
    <row r="899" customFormat="false" ht="15.75" hidden="false" customHeight="false" outlineLevel="0" collapsed="false">
      <c r="D899" s="264"/>
      <c r="E899" s="265"/>
      <c r="F899" s="265"/>
      <c r="G899" s="265"/>
      <c r="H899" s="265"/>
      <c r="I899" s="265"/>
      <c r="J899" s="266"/>
      <c r="K899" s="266"/>
    </row>
    <row r="900" customFormat="false" ht="15.75" hidden="false" customHeight="false" outlineLevel="0" collapsed="false">
      <c r="D900" s="264"/>
      <c r="E900" s="265"/>
      <c r="F900" s="265"/>
      <c r="G900" s="265"/>
      <c r="H900" s="265"/>
      <c r="I900" s="265"/>
      <c r="J900" s="266"/>
      <c r="K900" s="266"/>
    </row>
    <row r="901" customFormat="false" ht="15.75" hidden="false" customHeight="false" outlineLevel="0" collapsed="false">
      <c r="D901" s="264"/>
      <c r="E901" s="265"/>
      <c r="F901" s="265"/>
      <c r="G901" s="265"/>
      <c r="H901" s="265"/>
      <c r="I901" s="265"/>
      <c r="J901" s="266"/>
      <c r="K901" s="266"/>
    </row>
    <row r="902" customFormat="false" ht="15.75" hidden="false" customHeight="false" outlineLevel="0" collapsed="false">
      <c r="D902" s="264"/>
      <c r="E902" s="265"/>
      <c r="F902" s="265"/>
      <c r="G902" s="265"/>
      <c r="H902" s="265"/>
      <c r="I902" s="265"/>
      <c r="J902" s="266"/>
      <c r="K902" s="266"/>
    </row>
    <row r="903" customFormat="false" ht="15.75" hidden="false" customHeight="false" outlineLevel="0" collapsed="false">
      <c r="D903" s="264"/>
      <c r="E903" s="265"/>
      <c r="F903" s="265"/>
      <c r="G903" s="265"/>
      <c r="H903" s="265"/>
      <c r="I903" s="265"/>
      <c r="J903" s="266"/>
      <c r="K903" s="266"/>
    </row>
    <row r="904" customFormat="false" ht="15.75" hidden="false" customHeight="false" outlineLevel="0" collapsed="false">
      <c r="D904" s="264"/>
      <c r="E904" s="265"/>
      <c r="F904" s="265"/>
      <c r="G904" s="265"/>
      <c r="H904" s="265"/>
      <c r="I904" s="265"/>
      <c r="J904" s="266"/>
      <c r="K904" s="266"/>
    </row>
    <row r="905" customFormat="false" ht="15.75" hidden="false" customHeight="false" outlineLevel="0" collapsed="false">
      <c r="D905" s="264"/>
      <c r="E905" s="265"/>
      <c r="F905" s="265"/>
      <c r="G905" s="265"/>
      <c r="H905" s="265"/>
      <c r="I905" s="265"/>
      <c r="J905" s="266"/>
      <c r="K905" s="266"/>
    </row>
    <row r="906" customFormat="false" ht="15.75" hidden="false" customHeight="false" outlineLevel="0" collapsed="false">
      <c r="D906" s="264"/>
      <c r="E906" s="265"/>
      <c r="F906" s="265"/>
      <c r="G906" s="265"/>
      <c r="H906" s="265"/>
      <c r="I906" s="265"/>
      <c r="J906" s="266"/>
      <c r="K906" s="266"/>
    </row>
    <row r="907" customFormat="false" ht="15.75" hidden="false" customHeight="false" outlineLevel="0" collapsed="false">
      <c r="D907" s="264"/>
      <c r="E907" s="265"/>
      <c r="F907" s="265"/>
      <c r="G907" s="265"/>
      <c r="H907" s="265"/>
      <c r="I907" s="265"/>
      <c r="J907" s="266"/>
      <c r="K907" s="266"/>
    </row>
    <row r="908" customFormat="false" ht="15.75" hidden="false" customHeight="false" outlineLevel="0" collapsed="false">
      <c r="D908" s="264"/>
      <c r="E908" s="265"/>
      <c r="F908" s="265"/>
      <c r="G908" s="265"/>
      <c r="H908" s="265"/>
      <c r="I908" s="265"/>
      <c r="J908" s="266"/>
      <c r="K908" s="266"/>
    </row>
    <row r="909" customFormat="false" ht="15.75" hidden="false" customHeight="false" outlineLevel="0" collapsed="false">
      <c r="D909" s="264"/>
      <c r="E909" s="265"/>
      <c r="F909" s="265"/>
      <c r="G909" s="265"/>
      <c r="H909" s="265"/>
      <c r="I909" s="265"/>
      <c r="J909" s="266"/>
      <c r="K909" s="266"/>
    </row>
    <row r="910" customFormat="false" ht="15.75" hidden="false" customHeight="false" outlineLevel="0" collapsed="false">
      <c r="D910" s="264"/>
      <c r="E910" s="265"/>
      <c r="F910" s="265"/>
      <c r="G910" s="265"/>
      <c r="H910" s="265"/>
      <c r="I910" s="265"/>
      <c r="J910" s="266"/>
      <c r="K910" s="266"/>
    </row>
    <row r="911" customFormat="false" ht="15.75" hidden="false" customHeight="false" outlineLevel="0" collapsed="false">
      <c r="D911" s="264"/>
      <c r="E911" s="265"/>
      <c r="F911" s="265"/>
      <c r="G911" s="265"/>
      <c r="H911" s="265"/>
      <c r="I911" s="265"/>
      <c r="J911" s="266"/>
      <c r="K911" s="266"/>
    </row>
    <row r="912" customFormat="false" ht="15.75" hidden="false" customHeight="false" outlineLevel="0" collapsed="false">
      <c r="D912" s="264"/>
      <c r="E912" s="265"/>
      <c r="F912" s="265"/>
      <c r="G912" s="265"/>
      <c r="H912" s="265"/>
      <c r="I912" s="265"/>
      <c r="J912" s="266"/>
      <c r="K912" s="266"/>
    </row>
    <row r="913" customFormat="false" ht="15.75" hidden="false" customHeight="false" outlineLevel="0" collapsed="false">
      <c r="D913" s="264"/>
      <c r="E913" s="265"/>
      <c r="F913" s="265"/>
      <c r="G913" s="265"/>
      <c r="H913" s="265"/>
      <c r="I913" s="265"/>
      <c r="J913" s="266"/>
      <c r="K913" s="266"/>
    </row>
    <row r="914" customFormat="false" ht="15.75" hidden="false" customHeight="false" outlineLevel="0" collapsed="false">
      <c r="D914" s="264"/>
      <c r="E914" s="265"/>
      <c r="F914" s="265"/>
      <c r="G914" s="265"/>
      <c r="H914" s="265"/>
      <c r="I914" s="265"/>
      <c r="J914" s="266"/>
      <c r="K914" s="266"/>
    </row>
    <row r="915" customFormat="false" ht="15.75" hidden="false" customHeight="false" outlineLevel="0" collapsed="false">
      <c r="D915" s="264"/>
      <c r="E915" s="265"/>
      <c r="F915" s="265"/>
      <c r="G915" s="265"/>
      <c r="H915" s="265"/>
      <c r="I915" s="265"/>
      <c r="J915" s="266"/>
      <c r="K915" s="266"/>
    </row>
    <row r="916" customFormat="false" ht="15.75" hidden="false" customHeight="false" outlineLevel="0" collapsed="false">
      <c r="D916" s="264"/>
      <c r="E916" s="265"/>
      <c r="F916" s="265"/>
      <c r="G916" s="265"/>
      <c r="H916" s="265"/>
      <c r="I916" s="265"/>
      <c r="J916" s="266"/>
      <c r="K916" s="266"/>
    </row>
    <row r="917" customFormat="false" ht="15.75" hidden="false" customHeight="false" outlineLevel="0" collapsed="false">
      <c r="D917" s="264"/>
      <c r="E917" s="265"/>
      <c r="F917" s="265"/>
      <c r="G917" s="265"/>
      <c r="H917" s="265"/>
      <c r="I917" s="265"/>
      <c r="J917" s="266"/>
      <c r="K917" s="266"/>
    </row>
    <row r="918" customFormat="false" ht="15.75" hidden="false" customHeight="false" outlineLevel="0" collapsed="false">
      <c r="D918" s="264"/>
      <c r="E918" s="265"/>
      <c r="F918" s="265"/>
      <c r="G918" s="265"/>
      <c r="H918" s="265"/>
      <c r="I918" s="265"/>
      <c r="J918" s="266"/>
      <c r="K918" s="266"/>
    </row>
    <row r="919" customFormat="false" ht="15.75" hidden="false" customHeight="false" outlineLevel="0" collapsed="false">
      <c r="D919" s="264"/>
      <c r="E919" s="265"/>
      <c r="F919" s="265"/>
      <c r="G919" s="265"/>
      <c r="H919" s="265"/>
      <c r="I919" s="265"/>
      <c r="J919" s="266"/>
      <c r="K919" s="266"/>
    </row>
    <row r="920" customFormat="false" ht="15.75" hidden="false" customHeight="false" outlineLevel="0" collapsed="false">
      <c r="D920" s="264"/>
      <c r="E920" s="265"/>
      <c r="F920" s="265"/>
      <c r="G920" s="265"/>
      <c r="H920" s="265"/>
      <c r="I920" s="265"/>
      <c r="J920" s="266"/>
      <c r="K920" s="266"/>
    </row>
    <row r="921" customFormat="false" ht="15.75" hidden="false" customHeight="false" outlineLevel="0" collapsed="false">
      <c r="D921" s="264"/>
      <c r="E921" s="265"/>
      <c r="F921" s="265"/>
      <c r="G921" s="265"/>
      <c r="H921" s="265"/>
      <c r="I921" s="265"/>
      <c r="J921" s="266"/>
      <c r="K921" s="266"/>
    </row>
    <row r="922" customFormat="false" ht="15.75" hidden="false" customHeight="false" outlineLevel="0" collapsed="false">
      <c r="D922" s="264"/>
      <c r="E922" s="265"/>
      <c r="F922" s="265"/>
      <c r="G922" s="265"/>
      <c r="H922" s="265"/>
      <c r="I922" s="265"/>
      <c r="J922" s="266"/>
      <c r="K922" s="266"/>
    </row>
    <row r="923" customFormat="false" ht="15.75" hidden="false" customHeight="false" outlineLevel="0" collapsed="false">
      <c r="D923" s="264"/>
      <c r="E923" s="265"/>
      <c r="F923" s="265"/>
      <c r="G923" s="265"/>
      <c r="H923" s="265"/>
      <c r="I923" s="265"/>
      <c r="J923" s="266"/>
      <c r="K923" s="266"/>
    </row>
    <row r="924" customFormat="false" ht="15.75" hidden="false" customHeight="false" outlineLevel="0" collapsed="false">
      <c r="D924" s="264"/>
      <c r="E924" s="265"/>
      <c r="F924" s="265"/>
      <c r="G924" s="265"/>
      <c r="H924" s="265"/>
      <c r="I924" s="265"/>
      <c r="J924" s="266"/>
      <c r="K924" s="266"/>
    </row>
    <row r="925" customFormat="false" ht="15.75" hidden="false" customHeight="false" outlineLevel="0" collapsed="false">
      <c r="D925" s="264"/>
      <c r="E925" s="265"/>
      <c r="F925" s="265"/>
      <c r="G925" s="265"/>
      <c r="H925" s="265"/>
      <c r="I925" s="265"/>
      <c r="J925" s="266"/>
      <c r="K925" s="266"/>
    </row>
    <row r="926" customFormat="false" ht="15.75" hidden="false" customHeight="false" outlineLevel="0" collapsed="false">
      <c r="D926" s="264"/>
      <c r="E926" s="265"/>
      <c r="F926" s="265"/>
      <c r="G926" s="265"/>
      <c r="H926" s="265"/>
      <c r="I926" s="265"/>
      <c r="J926" s="266"/>
      <c r="K926" s="266"/>
    </row>
    <row r="927" customFormat="false" ht="15.75" hidden="false" customHeight="false" outlineLevel="0" collapsed="false">
      <c r="D927" s="264"/>
      <c r="E927" s="265"/>
      <c r="F927" s="265"/>
      <c r="G927" s="265"/>
      <c r="H927" s="265"/>
      <c r="I927" s="265"/>
      <c r="J927" s="266"/>
      <c r="K927" s="266"/>
    </row>
    <row r="928" customFormat="false" ht="15.75" hidden="false" customHeight="false" outlineLevel="0" collapsed="false">
      <c r="D928" s="264"/>
      <c r="E928" s="265"/>
      <c r="F928" s="265"/>
      <c r="G928" s="265"/>
      <c r="H928" s="265"/>
      <c r="I928" s="265"/>
      <c r="J928" s="266"/>
      <c r="K928" s="266"/>
    </row>
    <row r="929" customFormat="false" ht="15.75" hidden="false" customHeight="false" outlineLevel="0" collapsed="false">
      <c r="D929" s="264"/>
      <c r="E929" s="265"/>
      <c r="F929" s="265"/>
      <c r="G929" s="265"/>
      <c r="H929" s="265"/>
      <c r="I929" s="265"/>
      <c r="J929" s="266"/>
      <c r="K929" s="266"/>
    </row>
    <row r="930" customFormat="false" ht="15.75" hidden="false" customHeight="false" outlineLevel="0" collapsed="false">
      <c r="D930" s="264"/>
      <c r="E930" s="265"/>
      <c r="F930" s="265"/>
      <c r="G930" s="265"/>
      <c r="H930" s="265"/>
      <c r="I930" s="265"/>
      <c r="J930" s="266"/>
      <c r="K930" s="266"/>
    </row>
    <row r="931" customFormat="false" ht="15.75" hidden="false" customHeight="false" outlineLevel="0" collapsed="false">
      <c r="D931" s="264"/>
      <c r="E931" s="265"/>
      <c r="F931" s="265"/>
      <c r="G931" s="265"/>
      <c r="H931" s="265"/>
      <c r="I931" s="265"/>
      <c r="J931" s="266"/>
      <c r="K931" s="266"/>
    </row>
    <row r="932" customFormat="false" ht="15.75" hidden="false" customHeight="false" outlineLevel="0" collapsed="false">
      <c r="D932" s="264"/>
      <c r="E932" s="265"/>
      <c r="F932" s="265"/>
      <c r="G932" s="265"/>
      <c r="H932" s="265"/>
      <c r="I932" s="265"/>
      <c r="J932" s="266"/>
      <c r="K932" s="266"/>
    </row>
    <row r="933" customFormat="false" ht="15.75" hidden="false" customHeight="false" outlineLevel="0" collapsed="false">
      <c r="D933" s="264"/>
      <c r="E933" s="265"/>
      <c r="F933" s="265"/>
      <c r="G933" s="265"/>
      <c r="H933" s="265"/>
      <c r="I933" s="265"/>
      <c r="J933" s="266"/>
      <c r="K933" s="266"/>
    </row>
    <row r="934" customFormat="false" ht="15.75" hidden="false" customHeight="false" outlineLevel="0" collapsed="false">
      <c r="D934" s="264"/>
      <c r="E934" s="265"/>
      <c r="F934" s="265"/>
      <c r="G934" s="265"/>
      <c r="H934" s="265"/>
      <c r="I934" s="265"/>
      <c r="J934" s="266"/>
      <c r="K934" s="266"/>
    </row>
    <row r="935" customFormat="false" ht="15.75" hidden="false" customHeight="false" outlineLevel="0" collapsed="false">
      <c r="D935" s="264"/>
      <c r="E935" s="265"/>
      <c r="F935" s="265"/>
      <c r="G935" s="265"/>
      <c r="H935" s="265"/>
      <c r="I935" s="265"/>
      <c r="J935" s="266"/>
      <c r="K935" s="266"/>
    </row>
    <row r="936" customFormat="false" ht="15.75" hidden="false" customHeight="false" outlineLevel="0" collapsed="false">
      <c r="D936" s="264"/>
      <c r="E936" s="265"/>
      <c r="F936" s="265"/>
      <c r="G936" s="265"/>
      <c r="H936" s="265"/>
      <c r="I936" s="265"/>
      <c r="J936" s="266"/>
      <c r="K936" s="266"/>
    </row>
    <row r="937" customFormat="false" ht="15.75" hidden="false" customHeight="false" outlineLevel="0" collapsed="false">
      <c r="D937" s="264"/>
      <c r="E937" s="265"/>
      <c r="F937" s="265"/>
      <c r="G937" s="265"/>
      <c r="H937" s="265"/>
      <c r="I937" s="265"/>
      <c r="J937" s="266"/>
      <c r="K937" s="266"/>
    </row>
    <row r="938" customFormat="false" ht="15.75" hidden="false" customHeight="false" outlineLevel="0" collapsed="false">
      <c r="D938" s="264"/>
      <c r="E938" s="265"/>
      <c r="F938" s="265"/>
      <c r="G938" s="265"/>
      <c r="H938" s="265"/>
      <c r="I938" s="265"/>
      <c r="J938" s="266"/>
      <c r="K938" s="266"/>
    </row>
    <row r="939" customFormat="false" ht="15.75" hidden="false" customHeight="false" outlineLevel="0" collapsed="false">
      <c r="D939" s="264"/>
      <c r="E939" s="265"/>
      <c r="F939" s="265"/>
      <c r="G939" s="265"/>
      <c r="H939" s="265"/>
      <c r="I939" s="265"/>
      <c r="J939" s="266"/>
      <c r="K939" s="266"/>
    </row>
    <row r="940" customFormat="false" ht="15.75" hidden="false" customHeight="false" outlineLevel="0" collapsed="false">
      <c r="D940" s="264"/>
      <c r="E940" s="265"/>
      <c r="F940" s="265"/>
      <c r="G940" s="265"/>
      <c r="H940" s="265"/>
      <c r="I940" s="265"/>
      <c r="J940" s="266"/>
      <c r="K940" s="266"/>
    </row>
    <row r="941" customFormat="false" ht="15.75" hidden="false" customHeight="false" outlineLevel="0" collapsed="false">
      <c r="D941" s="264"/>
      <c r="E941" s="265"/>
      <c r="F941" s="265"/>
      <c r="G941" s="265"/>
      <c r="H941" s="265"/>
      <c r="I941" s="265"/>
      <c r="J941" s="266"/>
      <c r="K941" s="266"/>
    </row>
    <row r="942" customFormat="false" ht="15.75" hidden="false" customHeight="false" outlineLevel="0" collapsed="false">
      <c r="D942" s="264"/>
      <c r="E942" s="265"/>
      <c r="F942" s="265"/>
      <c r="G942" s="265"/>
      <c r="H942" s="265"/>
      <c r="I942" s="265"/>
      <c r="J942" s="266"/>
      <c r="K942" s="266"/>
    </row>
    <row r="943" customFormat="false" ht="15.75" hidden="false" customHeight="false" outlineLevel="0" collapsed="false">
      <c r="D943" s="264"/>
      <c r="E943" s="265"/>
      <c r="F943" s="265"/>
      <c r="G943" s="265"/>
      <c r="H943" s="265"/>
      <c r="I943" s="265"/>
      <c r="J943" s="266"/>
      <c r="K943" s="266"/>
    </row>
    <row r="944" customFormat="false" ht="15.75" hidden="false" customHeight="false" outlineLevel="0" collapsed="false">
      <c r="D944" s="264"/>
      <c r="E944" s="265"/>
      <c r="F944" s="265"/>
      <c r="G944" s="265"/>
      <c r="H944" s="265"/>
      <c r="I944" s="265"/>
      <c r="J944" s="266"/>
      <c r="K944" s="266"/>
    </row>
    <row r="945" customFormat="false" ht="15.75" hidden="false" customHeight="false" outlineLevel="0" collapsed="false">
      <c r="D945" s="264"/>
      <c r="E945" s="265"/>
      <c r="F945" s="265"/>
      <c r="G945" s="265"/>
      <c r="H945" s="265"/>
      <c r="I945" s="265"/>
      <c r="J945" s="266"/>
      <c r="K945" s="266"/>
    </row>
    <row r="946" customFormat="false" ht="15.75" hidden="false" customHeight="false" outlineLevel="0" collapsed="false">
      <c r="D946" s="264"/>
      <c r="E946" s="265"/>
      <c r="F946" s="265"/>
      <c r="G946" s="265"/>
      <c r="H946" s="265"/>
      <c r="I946" s="265"/>
      <c r="J946" s="266"/>
      <c r="K946" s="266"/>
    </row>
    <row r="947" customFormat="false" ht="15.75" hidden="false" customHeight="false" outlineLevel="0" collapsed="false">
      <c r="D947" s="264"/>
      <c r="E947" s="265"/>
      <c r="F947" s="265"/>
      <c r="G947" s="265"/>
      <c r="H947" s="265"/>
      <c r="I947" s="265"/>
      <c r="J947" s="266"/>
      <c r="K947" s="266"/>
    </row>
    <row r="948" customFormat="false" ht="15.75" hidden="false" customHeight="false" outlineLevel="0" collapsed="false">
      <c r="D948" s="264"/>
      <c r="E948" s="265"/>
      <c r="F948" s="265"/>
      <c r="G948" s="265"/>
      <c r="H948" s="265"/>
      <c r="I948" s="265"/>
      <c r="J948" s="266"/>
      <c r="K948" s="266"/>
    </row>
    <row r="949" customFormat="false" ht="15.75" hidden="false" customHeight="false" outlineLevel="0" collapsed="false">
      <c r="D949" s="264"/>
      <c r="E949" s="265"/>
      <c r="F949" s="265"/>
      <c r="G949" s="265"/>
      <c r="H949" s="265"/>
      <c r="I949" s="265"/>
      <c r="J949" s="266"/>
      <c r="K949" s="266"/>
    </row>
    <row r="950" customFormat="false" ht="15.75" hidden="false" customHeight="false" outlineLevel="0" collapsed="false">
      <c r="D950" s="264"/>
      <c r="E950" s="265"/>
      <c r="F950" s="265"/>
      <c r="G950" s="265"/>
      <c r="H950" s="265"/>
      <c r="I950" s="265"/>
      <c r="J950" s="266"/>
      <c r="K950" s="266"/>
    </row>
    <row r="951" customFormat="false" ht="15.75" hidden="false" customHeight="false" outlineLevel="0" collapsed="false">
      <c r="D951" s="264"/>
      <c r="E951" s="265"/>
      <c r="F951" s="265"/>
      <c r="G951" s="265"/>
      <c r="H951" s="265"/>
      <c r="I951" s="265"/>
      <c r="J951" s="266"/>
      <c r="K951" s="266"/>
    </row>
    <row r="952" customFormat="false" ht="15.75" hidden="false" customHeight="false" outlineLevel="0" collapsed="false">
      <c r="D952" s="264"/>
      <c r="E952" s="265"/>
      <c r="F952" s="265"/>
      <c r="G952" s="265"/>
      <c r="H952" s="265"/>
      <c r="I952" s="265"/>
      <c r="J952" s="266"/>
      <c r="K952" s="266"/>
    </row>
    <row r="953" customFormat="false" ht="15.75" hidden="false" customHeight="false" outlineLevel="0" collapsed="false">
      <c r="D953" s="264"/>
      <c r="E953" s="265"/>
      <c r="F953" s="265"/>
      <c r="G953" s="265"/>
      <c r="H953" s="265"/>
      <c r="I953" s="265"/>
      <c r="J953" s="266"/>
      <c r="K953" s="266"/>
    </row>
    <row r="954" customFormat="false" ht="15.75" hidden="false" customHeight="false" outlineLevel="0" collapsed="false">
      <c r="D954" s="264"/>
      <c r="E954" s="265"/>
      <c r="F954" s="265"/>
      <c r="G954" s="265"/>
      <c r="H954" s="265"/>
      <c r="I954" s="265"/>
      <c r="J954" s="266"/>
      <c r="K954" s="266"/>
    </row>
    <row r="955" customFormat="false" ht="15.75" hidden="false" customHeight="false" outlineLevel="0" collapsed="false">
      <c r="D955" s="264"/>
      <c r="E955" s="265"/>
      <c r="F955" s="265"/>
      <c r="G955" s="265"/>
      <c r="H955" s="265"/>
      <c r="I955" s="265"/>
      <c r="J955" s="266"/>
      <c r="K955" s="266"/>
    </row>
    <row r="956" customFormat="false" ht="15.75" hidden="false" customHeight="false" outlineLevel="0" collapsed="false">
      <c r="D956" s="264"/>
      <c r="E956" s="265"/>
      <c r="F956" s="265"/>
      <c r="G956" s="265"/>
      <c r="H956" s="265"/>
      <c r="I956" s="265"/>
      <c r="J956" s="266"/>
      <c r="K956" s="266"/>
    </row>
    <row r="957" customFormat="false" ht="15.75" hidden="false" customHeight="false" outlineLevel="0" collapsed="false">
      <c r="D957" s="264"/>
      <c r="E957" s="265"/>
      <c r="F957" s="265"/>
      <c r="G957" s="265"/>
      <c r="H957" s="265"/>
      <c r="I957" s="265"/>
      <c r="J957" s="266"/>
      <c r="K957" s="266"/>
    </row>
    <row r="958" customFormat="false" ht="15.75" hidden="false" customHeight="false" outlineLevel="0" collapsed="false">
      <c r="D958" s="264"/>
      <c r="E958" s="265"/>
      <c r="F958" s="265"/>
      <c r="G958" s="265"/>
      <c r="H958" s="265"/>
      <c r="I958" s="265"/>
      <c r="J958" s="266"/>
      <c r="K958" s="266"/>
    </row>
    <row r="959" customFormat="false" ht="15.75" hidden="false" customHeight="false" outlineLevel="0" collapsed="false">
      <c r="D959" s="264"/>
      <c r="E959" s="265"/>
      <c r="F959" s="265"/>
      <c r="G959" s="265"/>
      <c r="H959" s="265"/>
      <c r="I959" s="265"/>
      <c r="J959" s="266"/>
      <c r="K959" s="266"/>
    </row>
    <row r="960" customFormat="false" ht="15.75" hidden="false" customHeight="false" outlineLevel="0" collapsed="false">
      <c r="D960" s="264"/>
      <c r="E960" s="265"/>
      <c r="F960" s="265"/>
      <c r="G960" s="265"/>
      <c r="H960" s="265"/>
      <c r="I960" s="265"/>
      <c r="J960" s="266"/>
      <c r="K960" s="266"/>
    </row>
    <row r="961" customFormat="false" ht="15.75" hidden="false" customHeight="false" outlineLevel="0" collapsed="false">
      <c r="D961" s="264"/>
      <c r="E961" s="265"/>
      <c r="F961" s="265"/>
      <c r="G961" s="265"/>
      <c r="H961" s="265"/>
      <c r="I961" s="265"/>
      <c r="J961" s="266"/>
      <c r="K961" s="266"/>
    </row>
    <row r="962" customFormat="false" ht="15.75" hidden="false" customHeight="false" outlineLevel="0" collapsed="false">
      <c r="D962" s="264"/>
      <c r="E962" s="265"/>
      <c r="F962" s="265"/>
      <c r="G962" s="265"/>
      <c r="H962" s="265"/>
      <c r="I962" s="265"/>
      <c r="J962" s="266"/>
      <c r="K962" s="266"/>
    </row>
    <row r="963" customFormat="false" ht="15.75" hidden="false" customHeight="false" outlineLevel="0" collapsed="false">
      <c r="D963" s="264"/>
      <c r="E963" s="265"/>
      <c r="F963" s="265"/>
      <c r="G963" s="265"/>
      <c r="H963" s="265"/>
      <c r="I963" s="265"/>
      <c r="J963" s="266"/>
      <c r="K963" s="266"/>
    </row>
    <row r="964" customFormat="false" ht="15.75" hidden="false" customHeight="false" outlineLevel="0" collapsed="false">
      <c r="D964" s="264"/>
      <c r="E964" s="265"/>
      <c r="F964" s="265"/>
      <c r="G964" s="265"/>
      <c r="H964" s="265"/>
      <c r="I964" s="265"/>
      <c r="J964" s="266"/>
      <c r="K964" s="266"/>
    </row>
    <row r="965" customFormat="false" ht="15.75" hidden="false" customHeight="false" outlineLevel="0" collapsed="false">
      <c r="D965" s="264"/>
      <c r="E965" s="265"/>
      <c r="F965" s="265"/>
      <c r="G965" s="265"/>
      <c r="H965" s="265"/>
      <c r="I965" s="265"/>
      <c r="J965" s="266"/>
      <c r="K965" s="266"/>
    </row>
    <row r="966" customFormat="false" ht="15.75" hidden="false" customHeight="false" outlineLevel="0" collapsed="false">
      <c r="D966" s="264"/>
      <c r="E966" s="265"/>
      <c r="F966" s="265"/>
      <c r="G966" s="265"/>
      <c r="H966" s="265"/>
      <c r="I966" s="265"/>
      <c r="J966" s="266"/>
      <c r="K966" s="266"/>
    </row>
    <row r="967" customFormat="false" ht="15.75" hidden="false" customHeight="false" outlineLevel="0" collapsed="false">
      <c r="D967" s="264"/>
      <c r="E967" s="265"/>
      <c r="F967" s="265"/>
      <c r="G967" s="265"/>
      <c r="H967" s="265"/>
      <c r="I967" s="265"/>
      <c r="J967" s="266"/>
      <c r="K967" s="266"/>
    </row>
    <row r="968" customFormat="false" ht="15.75" hidden="false" customHeight="false" outlineLevel="0" collapsed="false">
      <c r="D968" s="264"/>
      <c r="E968" s="265"/>
      <c r="F968" s="265"/>
      <c r="G968" s="265"/>
      <c r="H968" s="265"/>
      <c r="I968" s="265"/>
      <c r="J968" s="266"/>
      <c r="K968" s="266"/>
    </row>
    <row r="969" customFormat="false" ht="15.75" hidden="false" customHeight="false" outlineLevel="0" collapsed="false">
      <c r="D969" s="264"/>
      <c r="E969" s="265"/>
      <c r="F969" s="265"/>
      <c r="G969" s="265"/>
      <c r="H969" s="265"/>
      <c r="I969" s="265"/>
      <c r="J969" s="266"/>
      <c r="K969" s="266"/>
    </row>
    <row r="970" customFormat="false" ht="15.75" hidden="false" customHeight="false" outlineLevel="0" collapsed="false">
      <c r="D970" s="264"/>
      <c r="E970" s="265"/>
      <c r="F970" s="265"/>
      <c r="G970" s="265"/>
      <c r="H970" s="265"/>
      <c r="I970" s="265"/>
      <c r="J970" s="266"/>
      <c r="K970" s="266"/>
    </row>
    <row r="971" customFormat="false" ht="15.75" hidden="false" customHeight="false" outlineLevel="0" collapsed="false">
      <c r="D971" s="264"/>
      <c r="E971" s="265"/>
      <c r="F971" s="265"/>
      <c r="G971" s="265"/>
      <c r="H971" s="265"/>
      <c r="I971" s="265"/>
      <c r="J971" s="266"/>
      <c r="K971" s="266"/>
    </row>
    <row r="972" customFormat="false" ht="15.75" hidden="false" customHeight="false" outlineLevel="0" collapsed="false">
      <c r="D972" s="264"/>
      <c r="E972" s="265"/>
      <c r="F972" s="265"/>
      <c r="G972" s="265"/>
      <c r="H972" s="265"/>
      <c r="I972" s="265"/>
      <c r="J972" s="266"/>
      <c r="K972" s="266"/>
    </row>
    <row r="973" customFormat="false" ht="15.75" hidden="false" customHeight="false" outlineLevel="0" collapsed="false">
      <c r="D973" s="264"/>
      <c r="E973" s="265"/>
      <c r="F973" s="265"/>
      <c r="G973" s="265"/>
      <c r="H973" s="265"/>
      <c r="I973" s="265"/>
      <c r="J973" s="266"/>
      <c r="K973" s="266"/>
    </row>
    <row r="974" customFormat="false" ht="15.75" hidden="false" customHeight="false" outlineLevel="0" collapsed="false">
      <c r="D974" s="264"/>
      <c r="E974" s="265"/>
      <c r="F974" s="265"/>
      <c r="G974" s="265"/>
      <c r="H974" s="265"/>
      <c r="I974" s="265"/>
      <c r="J974" s="266"/>
      <c r="K974" s="266"/>
    </row>
    <row r="975" customFormat="false" ht="15.75" hidden="false" customHeight="false" outlineLevel="0" collapsed="false">
      <c r="D975" s="264"/>
      <c r="E975" s="265"/>
      <c r="F975" s="265"/>
      <c r="G975" s="265"/>
      <c r="H975" s="265"/>
      <c r="I975" s="265"/>
      <c r="J975" s="266"/>
      <c r="K975" s="266"/>
    </row>
    <row r="976" customFormat="false" ht="15.75" hidden="false" customHeight="false" outlineLevel="0" collapsed="false">
      <c r="D976" s="264"/>
      <c r="E976" s="265"/>
      <c r="F976" s="265"/>
      <c r="G976" s="265"/>
      <c r="H976" s="265"/>
      <c r="I976" s="265"/>
      <c r="J976" s="266"/>
      <c r="K976" s="266"/>
    </row>
    <row r="977" customFormat="false" ht="15.75" hidden="false" customHeight="false" outlineLevel="0" collapsed="false">
      <c r="D977" s="264"/>
      <c r="E977" s="265"/>
      <c r="F977" s="265"/>
      <c r="G977" s="265"/>
      <c r="H977" s="265"/>
      <c r="I977" s="265"/>
      <c r="J977" s="266"/>
      <c r="K977" s="266"/>
    </row>
    <row r="978" customFormat="false" ht="15.75" hidden="false" customHeight="false" outlineLevel="0" collapsed="false">
      <c r="D978" s="264"/>
      <c r="E978" s="265"/>
      <c r="F978" s="265"/>
      <c r="G978" s="265"/>
      <c r="H978" s="265"/>
      <c r="I978" s="265"/>
      <c r="J978" s="266"/>
      <c r="K978" s="266"/>
    </row>
    <row r="979" customFormat="false" ht="15.75" hidden="false" customHeight="false" outlineLevel="0" collapsed="false">
      <c r="D979" s="264"/>
      <c r="E979" s="265"/>
      <c r="F979" s="265"/>
      <c r="G979" s="265"/>
      <c r="H979" s="265"/>
      <c r="I979" s="265"/>
      <c r="J979" s="266"/>
      <c r="K979" s="266"/>
    </row>
    <row r="980" customFormat="false" ht="15.75" hidden="false" customHeight="false" outlineLevel="0" collapsed="false">
      <c r="D980" s="264"/>
      <c r="E980" s="265"/>
      <c r="F980" s="265"/>
      <c r="G980" s="265"/>
      <c r="H980" s="265"/>
      <c r="I980" s="265"/>
      <c r="J980" s="266"/>
      <c r="K980" s="266"/>
    </row>
    <row r="981" customFormat="false" ht="15.75" hidden="false" customHeight="false" outlineLevel="0" collapsed="false">
      <c r="D981" s="264"/>
      <c r="E981" s="265"/>
      <c r="F981" s="265"/>
      <c r="G981" s="265"/>
      <c r="H981" s="265"/>
      <c r="I981" s="265"/>
      <c r="J981" s="266"/>
      <c r="K981" s="266"/>
    </row>
    <row r="982" customFormat="false" ht="15.75" hidden="false" customHeight="false" outlineLevel="0" collapsed="false">
      <c r="D982" s="264"/>
      <c r="E982" s="265"/>
      <c r="F982" s="265"/>
      <c r="G982" s="265"/>
      <c r="H982" s="265"/>
      <c r="I982" s="265"/>
      <c r="J982" s="266"/>
      <c r="K982" s="266"/>
    </row>
    <row r="983" customFormat="false" ht="15.75" hidden="false" customHeight="false" outlineLevel="0" collapsed="false">
      <c r="D983" s="264"/>
      <c r="E983" s="265"/>
      <c r="F983" s="265"/>
      <c r="G983" s="265"/>
      <c r="H983" s="265"/>
      <c r="I983" s="265"/>
      <c r="J983" s="266"/>
      <c r="K983" s="266"/>
    </row>
    <row r="984" customFormat="false" ht="15.75" hidden="false" customHeight="false" outlineLevel="0" collapsed="false">
      <c r="D984" s="264"/>
      <c r="E984" s="265"/>
      <c r="F984" s="265"/>
      <c r="G984" s="265"/>
      <c r="H984" s="265"/>
      <c r="I984" s="265"/>
      <c r="J984" s="266"/>
      <c r="K984" s="266"/>
    </row>
    <row r="985" customFormat="false" ht="15.75" hidden="false" customHeight="false" outlineLevel="0" collapsed="false">
      <c r="D985" s="264"/>
      <c r="E985" s="265"/>
      <c r="F985" s="265"/>
      <c r="G985" s="265"/>
      <c r="H985" s="265"/>
      <c r="I985" s="265"/>
      <c r="J985" s="266"/>
      <c r="K985" s="266"/>
    </row>
    <row r="986" customFormat="false" ht="15.75" hidden="false" customHeight="false" outlineLevel="0" collapsed="false">
      <c r="D986" s="264"/>
      <c r="E986" s="265"/>
      <c r="F986" s="265"/>
      <c r="G986" s="265"/>
      <c r="H986" s="265"/>
      <c r="I986" s="265"/>
      <c r="J986" s="266"/>
      <c r="K986" s="266"/>
    </row>
    <row r="987" customFormat="false" ht="15.75" hidden="false" customHeight="false" outlineLevel="0" collapsed="false">
      <c r="D987" s="264"/>
      <c r="E987" s="265"/>
      <c r="F987" s="265"/>
      <c r="G987" s="265"/>
      <c r="H987" s="265"/>
      <c r="I987" s="265"/>
      <c r="J987" s="266"/>
      <c r="K987" s="266"/>
    </row>
    <row r="988" customFormat="false" ht="15.75" hidden="false" customHeight="false" outlineLevel="0" collapsed="false">
      <c r="D988" s="264"/>
      <c r="E988" s="265"/>
      <c r="F988" s="265"/>
      <c r="G988" s="265"/>
      <c r="H988" s="265"/>
      <c r="I988" s="265"/>
      <c r="J988" s="266"/>
      <c r="K988" s="266"/>
    </row>
    <row r="989" customFormat="false" ht="15.75" hidden="false" customHeight="false" outlineLevel="0" collapsed="false">
      <c r="D989" s="264"/>
      <c r="E989" s="265"/>
      <c r="F989" s="265"/>
      <c r="G989" s="265"/>
      <c r="H989" s="265"/>
      <c r="I989" s="265"/>
      <c r="J989" s="266"/>
      <c r="K989" s="266"/>
    </row>
    <row r="990" customFormat="false" ht="15.75" hidden="false" customHeight="false" outlineLevel="0" collapsed="false">
      <c r="D990" s="264"/>
      <c r="E990" s="265"/>
      <c r="F990" s="265"/>
      <c r="G990" s="265"/>
      <c r="H990" s="265"/>
      <c r="I990" s="265"/>
      <c r="J990" s="266"/>
      <c r="K990" s="266"/>
    </row>
    <row r="991" customFormat="false" ht="15.75" hidden="false" customHeight="false" outlineLevel="0" collapsed="false">
      <c r="D991" s="264"/>
      <c r="E991" s="265"/>
      <c r="F991" s="265"/>
      <c r="G991" s="265"/>
      <c r="H991" s="265"/>
      <c r="I991" s="265"/>
      <c r="J991" s="266"/>
      <c r="K991" s="266"/>
    </row>
    <row r="992" customFormat="false" ht="15.75" hidden="false" customHeight="false" outlineLevel="0" collapsed="false">
      <c r="D992" s="264"/>
      <c r="E992" s="265"/>
      <c r="F992" s="265"/>
      <c r="G992" s="265"/>
      <c r="H992" s="265"/>
      <c r="I992" s="265"/>
      <c r="J992" s="266"/>
      <c r="K992" s="266"/>
    </row>
    <row r="993" customFormat="false" ht="15.75" hidden="false" customHeight="false" outlineLevel="0" collapsed="false">
      <c r="D993" s="264"/>
      <c r="E993" s="265"/>
      <c r="F993" s="265"/>
      <c r="G993" s="265"/>
      <c r="H993" s="265"/>
      <c r="I993" s="265"/>
      <c r="J993" s="266"/>
      <c r="K993" s="266"/>
    </row>
    <row r="994" customFormat="false" ht="15.75" hidden="false" customHeight="false" outlineLevel="0" collapsed="false">
      <c r="D994" s="264"/>
      <c r="E994" s="265"/>
      <c r="F994" s="265"/>
      <c r="G994" s="265"/>
      <c r="H994" s="265"/>
      <c r="I994" s="265"/>
      <c r="J994" s="266"/>
      <c r="K994" s="266"/>
    </row>
    <row r="995" customFormat="false" ht="15.75" hidden="false" customHeight="false" outlineLevel="0" collapsed="false">
      <c r="D995" s="264"/>
      <c r="E995" s="265"/>
      <c r="F995" s="265"/>
      <c r="G995" s="265"/>
      <c r="H995" s="265"/>
      <c r="I995" s="265"/>
      <c r="J995" s="266"/>
      <c r="K995" s="266"/>
    </row>
    <row r="996" customFormat="false" ht="15.75" hidden="false" customHeight="false" outlineLevel="0" collapsed="false">
      <c r="D996" s="264"/>
      <c r="E996" s="265"/>
      <c r="F996" s="265"/>
      <c r="G996" s="265"/>
      <c r="H996" s="265"/>
      <c r="I996" s="265"/>
      <c r="J996" s="266"/>
      <c r="K996" s="266"/>
    </row>
    <row r="997" customFormat="false" ht="15.75" hidden="false" customHeight="false" outlineLevel="0" collapsed="false">
      <c r="D997" s="264"/>
      <c r="E997" s="265"/>
      <c r="F997" s="265"/>
      <c r="G997" s="265"/>
      <c r="H997" s="265"/>
      <c r="I997" s="265"/>
      <c r="J997" s="266"/>
      <c r="K997" s="266"/>
    </row>
    <row r="998" customFormat="false" ht="15.75" hidden="false" customHeight="false" outlineLevel="0" collapsed="false">
      <c r="D998" s="264"/>
      <c r="E998" s="265"/>
      <c r="F998" s="265"/>
      <c r="G998" s="265"/>
      <c r="H998" s="265"/>
      <c r="I998" s="265"/>
      <c r="J998" s="266"/>
      <c r="K998" s="266"/>
    </row>
    <row r="999" customFormat="false" ht="15.75" hidden="false" customHeight="false" outlineLevel="0" collapsed="false">
      <c r="D999" s="264"/>
      <c r="E999" s="265"/>
      <c r="F999" s="265"/>
      <c r="G999" s="265"/>
      <c r="H999" s="265"/>
      <c r="I999" s="265"/>
      <c r="J999" s="266"/>
      <c r="K999" s="266"/>
    </row>
    <row r="1000" customFormat="false" ht="15.75" hidden="false" customHeight="false" outlineLevel="0" collapsed="false">
      <c r="D1000" s="264"/>
      <c r="E1000" s="265"/>
      <c r="F1000" s="265"/>
      <c r="G1000" s="265"/>
      <c r="H1000" s="265"/>
      <c r="I1000" s="265"/>
      <c r="J1000" s="266"/>
      <c r="K1000" s="266"/>
    </row>
  </sheetData>
  <autoFilter ref="D1:K1000"/>
  <mergeCells count="5">
    <mergeCell ref="A1:B1"/>
    <mergeCell ref="A3:B3"/>
    <mergeCell ref="A4:B4"/>
    <mergeCell ref="A6:B6"/>
    <mergeCell ref="A7:B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E2" activeCellId="0" sqref="E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13.75"/>
    <col collapsed="false" customWidth="true" hidden="false" outlineLevel="0" max="3" min="3" style="0" width="19.13"/>
    <col collapsed="false" customWidth="true" hidden="true" outlineLevel="0" max="4" min="4" style="0" width="25.63"/>
    <col collapsed="false" customWidth="true" hidden="true" outlineLevel="0" max="5" min="5" style="0" width="12"/>
    <col collapsed="false" customWidth="true" hidden="false" outlineLevel="0" max="6" min="6" style="0" width="14.51"/>
    <col collapsed="false" customWidth="true" hidden="false" outlineLevel="0" max="8" min="8" style="0" width="12.25"/>
    <col collapsed="false" customWidth="true" hidden="false" outlineLevel="0" max="9" min="9" style="0" width="41.38"/>
    <col collapsed="false" customWidth="true" hidden="true" outlineLevel="0" max="10" min="10" style="0" width="75.63"/>
    <col collapsed="false" customWidth="true" hidden="true" outlineLevel="0" max="11" min="11" style="0" width="48"/>
    <col collapsed="false" customWidth="true" hidden="true" outlineLevel="0" max="12" min="12" style="0" width="27.63"/>
    <col collapsed="false" customWidth="true" hidden="true" outlineLevel="0" max="13" min="13" style="0" width="55.12"/>
    <col collapsed="false" customWidth="true" hidden="true" outlineLevel="0" max="14" min="14" style="0" width="65.5"/>
    <col collapsed="false" customWidth="true" hidden="false" outlineLevel="0" max="15" min="15" style="0" width="13.38"/>
    <col collapsed="false" customWidth="true" hidden="false" outlineLevel="0" max="16" min="16" style="0" width="15.51"/>
    <col collapsed="false" customWidth="true" hidden="false" outlineLevel="0" max="17" min="17" style="0" width="15.63"/>
    <col collapsed="false" customWidth="true" hidden="false" outlineLevel="0" max="18" min="18" style="0" width="14.38"/>
    <col collapsed="false" customWidth="true" hidden="false" outlineLevel="0" max="19" min="19" style="0" width="20.13"/>
    <col collapsed="false" customWidth="true" hidden="false" outlineLevel="0" max="31" min="20" style="0" width="7.63"/>
  </cols>
  <sheetData>
    <row r="1" customFormat="false" ht="22.5" hidden="false" customHeight="true" outlineLevel="0" collapsed="false">
      <c r="A1" s="268" t="s">
        <v>858</v>
      </c>
      <c r="B1" s="268" t="s">
        <v>859</v>
      </c>
      <c r="C1" s="268" t="s">
        <v>860</v>
      </c>
      <c r="D1" s="268" t="s">
        <v>89</v>
      </c>
      <c r="E1" s="268" t="s">
        <v>855</v>
      </c>
      <c r="F1" s="269" t="s">
        <v>861</v>
      </c>
      <c r="G1" s="269" t="s">
        <v>862</v>
      </c>
      <c r="H1" s="270" t="s">
        <v>863</v>
      </c>
      <c r="I1" s="269" t="s">
        <v>864</v>
      </c>
      <c r="J1" s="269" t="s">
        <v>865</v>
      </c>
      <c r="K1" s="268" t="s">
        <v>866</v>
      </c>
      <c r="L1" s="269" t="s">
        <v>867</v>
      </c>
      <c r="M1" s="269" t="s">
        <v>868</v>
      </c>
      <c r="N1" s="269" t="s">
        <v>869</v>
      </c>
      <c r="O1" s="269" t="s">
        <v>870</v>
      </c>
      <c r="P1" s="269" t="s">
        <v>871</v>
      </c>
      <c r="Q1" s="271" t="s">
        <v>872</v>
      </c>
      <c r="R1" s="268" t="s">
        <v>873</v>
      </c>
      <c r="S1" s="271" t="s">
        <v>874</v>
      </c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customFormat="false" ht="22.5" hidden="false" customHeight="true" outlineLevel="0" collapsed="false">
      <c r="A2" s="272" t="s">
        <v>875</v>
      </c>
      <c r="B2" s="272"/>
      <c r="C2" s="272" t="s">
        <v>876</v>
      </c>
      <c r="D2" s="272" t="s">
        <v>877</v>
      </c>
      <c r="E2" s="272" t="s">
        <v>878</v>
      </c>
      <c r="F2" s="273" t="n">
        <v>30</v>
      </c>
      <c r="G2" s="273" t="n">
        <v>300</v>
      </c>
      <c r="H2" s="273" t="n">
        <f aca="false">G2*1.05</f>
        <v>315</v>
      </c>
      <c r="I2" s="273" t="s">
        <v>879</v>
      </c>
      <c r="J2" s="274" t="s">
        <v>880</v>
      </c>
      <c r="K2" s="272"/>
      <c r="L2" s="273"/>
      <c r="M2" s="273"/>
      <c r="N2" s="273"/>
      <c r="O2" s="272" t="s">
        <v>881</v>
      </c>
      <c r="P2" s="272" t="s">
        <v>882</v>
      </c>
      <c r="Q2" s="272" t="s">
        <v>883</v>
      </c>
      <c r="R2" s="272" t="s">
        <v>883</v>
      </c>
      <c r="S2" s="272" t="s">
        <v>883</v>
      </c>
    </row>
    <row r="3" customFormat="false" ht="22.5" hidden="false" customHeight="true" outlineLevel="0" collapsed="false">
      <c r="A3" s="272" t="s">
        <v>884</v>
      </c>
      <c r="B3" s="272"/>
      <c r="C3" s="272" t="s">
        <v>885</v>
      </c>
      <c r="D3" s="272" t="s">
        <v>886</v>
      </c>
      <c r="E3" s="272" t="s">
        <v>887</v>
      </c>
      <c r="F3" s="273" t="n">
        <v>30</v>
      </c>
      <c r="G3" s="273" t="n">
        <v>300</v>
      </c>
      <c r="H3" s="273" t="n">
        <f aca="false">G3*1.05</f>
        <v>315</v>
      </c>
      <c r="I3" s="273" t="s">
        <v>879</v>
      </c>
      <c r="J3" s="274" t="s">
        <v>880</v>
      </c>
      <c r="K3" s="272" t="s">
        <v>888</v>
      </c>
      <c r="L3" s="273"/>
      <c r="M3" s="273"/>
      <c r="N3" s="273"/>
      <c r="O3" s="272" t="s">
        <v>882</v>
      </c>
      <c r="P3" s="272" t="s">
        <v>882</v>
      </c>
      <c r="Q3" s="272" t="s">
        <v>883</v>
      </c>
      <c r="R3" s="272" t="s">
        <v>883</v>
      </c>
      <c r="S3" s="272" t="s">
        <v>883</v>
      </c>
    </row>
    <row r="4" customFormat="false" ht="22.5" hidden="false" customHeight="true" outlineLevel="0" collapsed="false">
      <c r="A4" s="272" t="s">
        <v>884</v>
      </c>
      <c r="B4" s="272"/>
      <c r="C4" s="272" t="s">
        <v>26</v>
      </c>
      <c r="D4" s="272" t="s">
        <v>889</v>
      </c>
      <c r="E4" s="272" t="s">
        <v>890</v>
      </c>
      <c r="F4" s="272"/>
      <c r="G4" s="272"/>
      <c r="H4" s="273" t="n">
        <f aca="false">G4*1.05</f>
        <v>0</v>
      </c>
      <c r="I4" s="272"/>
      <c r="J4" s="272"/>
      <c r="K4" s="272"/>
      <c r="L4" s="273"/>
      <c r="M4" s="273"/>
      <c r="N4" s="273"/>
      <c r="O4" s="272"/>
      <c r="P4" s="272"/>
      <c r="Q4" s="272"/>
      <c r="R4" s="272"/>
      <c r="S4" s="272"/>
    </row>
    <row r="5" customFormat="false" ht="22.5" hidden="false" customHeight="true" outlineLevel="0" collapsed="false">
      <c r="A5" s="272" t="s">
        <v>884</v>
      </c>
      <c r="B5" s="272" t="s">
        <v>891</v>
      </c>
      <c r="C5" s="272" t="s">
        <v>892</v>
      </c>
      <c r="D5" s="272" t="s">
        <v>893</v>
      </c>
      <c r="E5" s="272" t="s">
        <v>894</v>
      </c>
      <c r="F5" s="273" t="n">
        <v>30</v>
      </c>
      <c r="G5" s="273" t="n">
        <v>300</v>
      </c>
      <c r="H5" s="273" t="n">
        <f aca="false">G5*1.05</f>
        <v>315</v>
      </c>
      <c r="I5" s="273" t="s">
        <v>879</v>
      </c>
      <c r="J5" s="274" t="s">
        <v>880</v>
      </c>
      <c r="K5" s="272"/>
      <c r="L5" s="273"/>
      <c r="M5" s="273"/>
      <c r="N5" s="273"/>
      <c r="O5" s="272" t="s">
        <v>881</v>
      </c>
      <c r="P5" s="272" t="s">
        <v>882</v>
      </c>
      <c r="Q5" s="272"/>
      <c r="R5" s="272"/>
      <c r="S5" s="272"/>
    </row>
    <row r="6" customFormat="false" ht="22.5" hidden="false" customHeight="true" outlineLevel="0" collapsed="false">
      <c r="A6" s="272" t="s">
        <v>884</v>
      </c>
      <c r="B6" s="272" t="s">
        <v>895</v>
      </c>
      <c r="C6" s="272" t="s">
        <v>896</v>
      </c>
      <c r="D6" s="272" t="s">
        <v>897</v>
      </c>
      <c r="E6" s="272" t="s">
        <v>898</v>
      </c>
      <c r="F6" s="273" t="n">
        <v>30</v>
      </c>
      <c r="G6" s="273" t="n">
        <v>300</v>
      </c>
      <c r="H6" s="273" t="n">
        <f aca="false">G6*1.05</f>
        <v>315</v>
      </c>
      <c r="I6" s="273" t="s">
        <v>879</v>
      </c>
      <c r="J6" s="274" t="s">
        <v>880</v>
      </c>
      <c r="K6" s="272"/>
      <c r="L6" s="273"/>
      <c r="M6" s="273"/>
      <c r="N6" s="273"/>
      <c r="O6" s="272" t="s">
        <v>881</v>
      </c>
      <c r="P6" s="272" t="s">
        <v>882</v>
      </c>
      <c r="Q6" s="272" t="s">
        <v>883</v>
      </c>
      <c r="R6" s="272" t="s">
        <v>883</v>
      </c>
      <c r="S6" s="272" t="s">
        <v>883</v>
      </c>
    </row>
    <row r="7" customFormat="false" ht="22.5" hidden="false" customHeight="true" outlineLevel="0" collapsed="false">
      <c r="A7" s="272" t="s">
        <v>884</v>
      </c>
      <c r="B7" s="272" t="s">
        <v>899</v>
      </c>
      <c r="C7" s="272" t="s">
        <v>900</v>
      </c>
      <c r="D7" s="272" t="s">
        <v>901</v>
      </c>
      <c r="E7" s="272" t="s">
        <v>902</v>
      </c>
      <c r="F7" s="273" t="n">
        <v>30</v>
      </c>
      <c r="G7" s="273" t="n">
        <v>300</v>
      </c>
      <c r="H7" s="273" t="n">
        <f aca="false">G7*1.05</f>
        <v>315</v>
      </c>
      <c r="I7" s="273" t="s">
        <v>879</v>
      </c>
      <c r="J7" s="274" t="s">
        <v>880</v>
      </c>
      <c r="K7" s="272"/>
      <c r="L7" s="273"/>
      <c r="M7" s="273"/>
      <c r="N7" s="273"/>
      <c r="O7" s="272" t="s">
        <v>881</v>
      </c>
      <c r="P7" s="272" t="s">
        <v>882</v>
      </c>
      <c r="Q7" s="272" t="s">
        <v>883</v>
      </c>
      <c r="R7" s="272" t="s">
        <v>883</v>
      </c>
      <c r="S7" s="272" t="s">
        <v>883</v>
      </c>
    </row>
    <row r="8" customFormat="false" ht="22.5" hidden="false" customHeight="true" outlineLevel="0" collapsed="false">
      <c r="A8" s="272" t="s">
        <v>884</v>
      </c>
      <c r="B8" s="272"/>
      <c r="C8" s="272" t="s">
        <v>903</v>
      </c>
      <c r="D8" s="272" t="s">
        <v>904</v>
      </c>
      <c r="E8" s="272" t="s">
        <v>905</v>
      </c>
      <c r="F8" s="273" t="n">
        <v>30</v>
      </c>
      <c r="G8" s="273" t="n">
        <v>300</v>
      </c>
      <c r="H8" s="273" t="n">
        <f aca="false">G8*1.05</f>
        <v>315</v>
      </c>
      <c r="I8" s="273" t="s">
        <v>879</v>
      </c>
      <c r="J8" s="274" t="s">
        <v>880</v>
      </c>
      <c r="K8" s="272"/>
      <c r="L8" s="273"/>
      <c r="M8" s="273"/>
      <c r="N8" s="273"/>
      <c r="O8" s="272" t="s">
        <v>882</v>
      </c>
      <c r="P8" s="272" t="s">
        <v>882</v>
      </c>
      <c r="Q8" s="272"/>
      <c r="R8" s="272"/>
      <c r="S8" s="272"/>
    </row>
    <row r="9" customFormat="false" ht="22.5" hidden="false" customHeight="true" outlineLevel="0" collapsed="false">
      <c r="A9" s="272" t="s">
        <v>875</v>
      </c>
      <c r="B9" s="272"/>
      <c r="C9" s="272" t="s">
        <v>906</v>
      </c>
      <c r="D9" s="272" t="s">
        <v>907</v>
      </c>
      <c r="E9" s="272" t="s">
        <v>908</v>
      </c>
      <c r="F9" s="273" t="n">
        <v>30</v>
      </c>
      <c r="G9" s="273" t="s">
        <v>909</v>
      </c>
      <c r="H9" s="273" t="e">
        <f aca="false">G9*1.05</f>
        <v>#VALUE!</v>
      </c>
      <c r="I9" s="273" t="s">
        <v>879</v>
      </c>
      <c r="J9" s="274" t="s">
        <v>880</v>
      </c>
      <c r="K9" s="272"/>
      <c r="L9" s="273"/>
      <c r="M9" s="273"/>
      <c r="N9" s="273"/>
      <c r="O9" s="272"/>
      <c r="P9" s="272"/>
      <c r="Q9" s="272"/>
      <c r="R9" s="272"/>
      <c r="S9" s="272"/>
    </row>
    <row r="10" customFormat="false" ht="22.5" hidden="false" customHeight="true" outlineLevel="0" collapsed="false">
      <c r="A10" s="272" t="s">
        <v>884</v>
      </c>
      <c r="B10" s="272"/>
      <c r="C10" s="272" t="s">
        <v>910</v>
      </c>
      <c r="D10" s="272" t="s">
        <v>911</v>
      </c>
      <c r="E10" s="272" t="s">
        <v>912</v>
      </c>
      <c r="F10" s="273" t="n">
        <v>30</v>
      </c>
      <c r="G10" s="273" t="n">
        <v>300</v>
      </c>
      <c r="H10" s="273" t="n">
        <f aca="false">G10*1.05</f>
        <v>315</v>
      </c>
      <c r="I10" s="273" t="s">
        <v>913</v>
      </c>
      <c r="J10" s="274" t="s">
        <v>914</v>
      </c>
      <c r="K10" s="272"/>
      <c r="L10" s="273"/>
      <c r="M10" s="273"/>
      <c r="N10" s="273"/>
      <c r="O10" s="272" t="s">
        <v>882</v>
      </c>
      <c r="P10" s="272" t="s">
        <v>881</v>
      </c>
      <c r="Q10" s="272"/>
      <c r="R10" s="272"/>
      <c r="S10" s="272"/>
    </row>
    <row r="11" customFormat="false" ht="22.5" hidden="false" customHeight="true" outlineLevel="0" collapsed="false">
      <c r="A11" s="272" t="s">
        <v>915</v>
      </c>
      <c r="B11" s="272"/>
      <c r="C11" s="272" t="s">
        <v>916</v>
      </c>
      <c r="D11" s="272" t="s">
        <v>917</v>
      </c>
      <c r="E11" s="272" t="s">
        <v>918</v>
      </c>
      <c r="F11" s="273" t="n">
        <v>30</v>
      </c>
      <c r="G11" s="273" t="s">
        <v>909</v>
      </c>
      <c r="H11" s="273" t="e">
        <f aca="false">G11*1.05</f>
        <v>#VALUE!</v>
      </c>
      <c r="I11" s="273" t="s">
        <v>879</v>
      </c>
      <c r="J11" s="274" t="s">
        <v>880</v>
      </c>
      <c r="K11" s="272"/>
      <c r="L11" s="273"/>
      <c r="M11" s="273"/>
      <c r="N11" s="273"/>
      <c r="O11" s="272"/>
      <c r="P11" s="272"/>
      <c r="Q11" s="272"/>
      <c r="R11" s="272"/>
      <c r="S11" s="272"/>
    </row>
    <row r="12" customFormat="false" ht="22.5" hidden="false" customHeight="true" outlineLevel="0" collapsed="false">
      <c r="A12" s="272" t="s">
        <v>875</v>
      </c>
      <c r="B12" s="272" t="s">
        <v>919</v>
      </c>
      <c r="C12" s="272" t="s">
        <v>920</v>
      </c>
      <c r="D12" s="272" t="s">
        <v>921</v>
      </c>
      <c r="E12" s="272" t="s">
        <v>922</v>
      </c>
      <c r="F12" s="273" t="n">
        <v>30</v>
      </c>
      <c r="G12" s="273" t="n">
        <v>300</v>
      </c>
      <c r="H12" s="273" t="n">
        <f aca="false">G12*1.05</f>
        <v>315</v>
      </c>
      <c r="I12" s="273" t="s">
        <v>879</v>
      </c>
      <c r="J12" s="274" t="s">
        <v>880</v>
      </c>
      <c r="K12" s="272"/>
      <c r="L12" s="273"/>
      <c r="M12" s="273"/>
      <c r="N12" s="273"/>
      <c r="O12" s="272" t="s">
        <v>881</v>
      </c>
      <c r="P12" s="272" t="s">
        <v>882</v>
      </c>
      <c r="Q12" s="272"/>
      <c r="R12" s="272"/>
      <c r="S12" s="272"/>
    </row>
    <row r="13" customFormat="false" ht="22.5" hidden="false" customHeight="true" outlineLevel="0" collapsed="false">
      <c r="A13" s="272" t="s">
        <v>884</v>
      </c>
      <c r="B13" s="272" t="s">
        <v>923</v>
      </c>
      <c r="C13" s="272" t="s">
        <v>924</v>
      </c>
      <c r="D13" s="272" t="s">
        <v>925</v>
      </c>
      <c r="E13" s="272" t="s">
        <v>926</v>
      </c>
      <c r="F13" s="273" t="n">
        <v>30</v>
      </c>
      <c r="G13" s="273" t="n">
        <v>300</v>
      </c>
      <c r="H13" s="273" t="n">
        <f aca="false">G13*1.05</f>
        <v>315</v>
      </c>
      <c r="I13" s="273" t="s">
        <v>913</v>
      </c>
      <c r="J13" s="274" t="s">
        <v>914</v>
      </c>
      <c r="K13" s="272"/>
      <c r="L13" s="273"/>
      <c r="M13" s="273"/>
      <c r="N13" s="273"/>
      <c r="O13" s="272" t="s">
        <v>882</v>
      </c>
      <c r="P13" s="272" t="s">
        <v>882</v>
      </c>
      <c r="Q13" s="272"/>
      <c r="R13" s="272"/>
      <c r="S13" s="272"/>
    </row>
    <row r="14" customFormat="false" ht="22.5" hidden="false" customHeight="true" outlineLevel="0" collapsed="false">
      <c r="A14" s="272" t="s">
        <v>884</v>
      </c>
      <c r="B14" s="272"/>
      <c r="C14" s="272" t="s">
        <v>927</v>
      </c>
      <c r="D14" s="272" t="s">
        <v>928</v>
      </c>
      <c r="E14" s="272" t="s">
        <v>929</v>
      </c>
      <c r="F14" s="273" t="n">
        <v>30</v>
      </c>
      <c r="G14" s="273" t="n">
        <v>270</v>
      </c>
      <c r="H14" s="273" t="n">
        <f aca="false">G14*1.05</f>
        <v>283.5</v>
      </c>
      <c r="I14" s="273" t="s">
        <v>879</v>
      </c>
      <c r="J14" s="274" t="s">
        <v>880</v>
      </c>
      <c r="K14" s="272"/>
      <c r="L14" s="273"/>
      <c r="M14" s="273"/>
      <c r="N14" s="273"/>
      <c r="O14" s="272" t="s">
        <v>882</v>
      </c>
      <c r="P14" s="272" t="s">
        <v>882</v>
      </c>
      <c r="Q14" s="272" t="s">
        <v>883</v>
      </c>
      <c r="R14" s="272" t="s">
        <v>883</v>
      </c>
      <c r="S14" s="272" t="s">
        <v>883</v>
      </c>
    </row>
    <row r="15" customFormat="false" ht="22.5" hidden="false" customHeight="true" outlineLevel="0" collapsed="false">
      <c r="A15" s="272" t="s">
        <v>875</v>
      </c>
      <c r="B15" s="272"/>
      <c r="C15" s="272" t="s">
        <v>930</v>
      </c>
      <c r="D15" s="272" t="s">
        <v>931</v>
      </c>
      <c r="E15" s="272" t="s">
        <v>932</v>
      </c>
      <c r="F15" s="273" t="n">
        <v>30</v>
      </c>
      <c r="G15" s="273" t="s">
        <v>909</v>
      </c>
      <c r="H15" s="273" t="e">
        <f aca="false">G15*1.05</f>
        <v>#VALUE!</v>
      </c>
      <c r="I15" s="273" t="s">
        <v>879</v>
      </c>
      <c r="J15" s="274" t="s">
        <v>880</v>
      </c>
      <c r="K15" s="272"/>
      <c r="L15" s="273"/>
      <c r="M15" s="273"/>
      <c r="N15" s="273"/>
      <c r="O15" s="272"/>
      <c r="P15" s="272"/>
      <c r="Q15" s="272"/>
      <c r="R15" s="272"/>
      <c r="S15" s="272"/>
    </row>
    <row r="16" customFormat="false" ht="22.5" hidden="false" customHeight="true" outlineLevel="0" collapsed="false">
      <c r="A16" s="272" t="s">
        <v>875</v>
      </c>
      <c r="B16" s="272" t="s">
        <v>933</v>
      </c>
      <c r="C16" s="272" t="s">
        <v>775</v>
      </c>
      <c r="D16" s="272" t="s">
        <v>934</v>
      </c>
      <c r="E16" s="272" t="s">
        <v>935</v>
      </c>
      <c r="F16" s="273" t="n">
        <v>30</v>
      </c>
      <c r="G16" s="273" t="n">
        <v>300</v>
      </c>
      <c r="H16" s="273" t="n">
        <f aca="false">G16*1.05</f>
        <v>315</v>
      </c>
      <c r="I16" s="273" t="s">
        <v>913</v>
      </c>
      <c r="J16" s="274" t="s">
        <v>914</v>
      </c>
      <c r="K16" s="272"/>
      <c r="L16" s="273"/>
      <c r="M16" s="273"/>
      <c r="N16" s="273"/>
      <c r="O16" s="272" t="s">
        <v>882</v>
      </c>
      <c r="P16" s="272" t="s">
        <v>882</v>
      </c>
      <c r="Q16" s="272"/>
      <c r="R16" s="272"/>
      <c r="S16" s="272"/>
    </row>
    <row r="17" customFormat="false" ht="22.5" hidden="false" customHeight="true" outlineLevel="0" collapsed="false">
      <c r="A17" s="272" t="s">
        <v>884</v>
      </c>
      <c r="B17" s="272" t="s">
        <v>936</v>
      </c>
      <c r="C17" s="272" t="s">
        <v>937</v>
      </c>
      <c r="D17" s="272" t="s">
        <v>938</v>
      </c>
      <c r="E17" s="272" t="s">
        <v>939</v>
      </c>
      <c r="F17" s="273" t="n">
        <v>30</v>
      </c>
      <c r="G17" s="273" t="n">
        <v>300</v>
      </c>
      <c r="H17" s="273" t="n">
        <f aca="false">G17*1.05</f>
        <v>315</v>
      </c>
      <c r="I17" s="273" t="s">
        <v>913</v>
      </c>
      <c r="J17" s="274" t="s">
        <v>914</v>
      </c>
      <c r="K17" s="272"/>
      <c r="L17" s="273"/>
      <c r="M17" s="273"/>
      <c r="N17" s="273"/>
      <c r="O17" s="272" t="s">
        <v>882</v>
      </c>
      <c r="P17" s="272" t="s">
        <v>882</v>
      </c>
      <c r="Q17" s="272"/>
      <c r="R17" s="272"/>
      <c r="S17" s="272"/>
    </row>
    <row r="18" customFormat="false" ht="22.5" hidden="false" customHeight="true" outlineLevel="0" collapsed="false">
      <c r="A18" s="272" t="s">
        <v>884</v>
      </c>
      <c r="B18" s="272"/>
      <c r="C18" s="272" t="s">
        <v>790</v>
      </c>
      <c r="D18" s="272" t="s">
        <v>940</v>
      </c>
      <c r="E18" s="272" t="s">
        <v>941</v>
      </c>
      <c r="F18" s="273" t="n">
        <v>30</v>
      </c>
      <c r="G18" s="273" t="n">
        <v>300</v>
      </c>
      <c r="H18" s="273" t="n">
        <f aca="false">G18*1.05</f>
        <v>315</v>
      </c>
      <c r="I18" s="273" t="s">
        <v>913</v>
      </c>
      <c r="J18" s="274" t="s">
        <v>914</v>
      </c>
      <c r="K18" s="272"/>
      <c r="L18" s="273"/>
      <c r="M18" s="273"/>
      <c r="N18" s="273"/>
      <c r="O18" s="272" t="s">
        <v>882</v>
      </c>
      <c r="P18" s="272" t="s">
        <v>882</v>
      </c>
      <c r="Q18" s="272" t="s">
        <v>883</v>
      </c>
      <c r="R18" s="272" t="s">
        <v>883</v>
      </c>
      <c r="S18" s="272" t="s">
        <v>883</v>
      </c>
    </row>
    <row r="19" customFormat="false" ht="22.5" hidden="false" customHeight="true" outlineLevel="0" collapsed="false">
      <c r="A19" s="272" t="s">
        <v>884</v>
      </c>
      <c r="B19" s="272"/>
      <c r="C19" s="272" t="s">
        <v>942</v>
      </c>
      <c r="D19" s="272" t="s">
        <v>943</v>
      </c>
      <c r="E19" s="272" t="s">
        <v>944</v>
      </c>
      <c r="F19" s="273" t="n">
        <v>30</v>
      </c>
      <c r="G19" s="273" t="n">
        <v>250</v>
      </c>
      <c r="H19" s="273" t="n">
        <f aca="false">G19*1.05</f>
        <v>262.5</v>
      </c>
      <c r="I19" s="274" t="s">
        <v>945</v>
      </c>
      <c r="J19" s="274" t="s">
        <v>946</v>
      </c>
      <c r="K19" s="272"/>
      <c r="L19" s="273"/>
      <c r="M19" s="273"/>
      <c r="N19" s="273"/>
      <c r="O19" s="272" t="s">
        <v>882</v>
      </c>
      <c r="P19" s="272" t="s">
        <v>882</v>
      </c>
      <c r="Q19" s="272"/>
      <c r="R19" s="272"/>
      <c r="S19" s="272"/>
    </row>
    <row r="20" customFormat="false" ht="22.5" hidden="false" customHeight="true" outlineLevel="0" collapsed="false">
      <c r="A20" s="272" t="s">
        <v>884</v>
      </c>
      <c r="B20" s="272"/>
      <c r="C20" s="272" t="s">
        <v>947</v>
      </c>
      <c r="D20" s="272" t="s">
        <v>948</v>
      </c>
      <c r="E20" s="272" t="s">
        <v>949</v>
      </c>
      <c r="F20" s="273" t="n">
        <v>30</v>
      </c>
      <c r="G20" s="273" t="n">
        <v>250</v>
      </c>
      <c r="H20" s="273" t="n">
        <f aca="false">G20*1.05</f>
        <v>262.5</v>
      </c>
      <c r="I20" s="274" t="s">
        <v>950</v>
      </c>
      <c r="J20" s="274" t="s">
        <v>951</v>
      </c>
      <c r="K20" s="272"/>
      <c r="L20" s="273"/>
      <c r="M20" s="273"/>
      <c r="N20" s="273"/>
      <c r="O20" s="272" t="s">
        <v>882</v>
      </c>
      <c r="P20" s="272" t="s">
        <v>882</v>
      </c>
      <c r="Q20" s="272"/>
      <c r="R20" s="272"/>
      <c r="S20" s="272"/>
    </row>
    <row r="21" customFormat="false" ht="22.5" hidden="false" customHeight="true" outlineLevel="0" collapsed="false">
      <c r="A21" s="272" t="s">
        <v>884</v>
      </c>
      <c r="B21" s="272" t="s">
        <v>952</v>
      </c>
      <c r="C21" s="272" t="s">
        <v>953</v>
      </c>
      <c r="D21" s="272" t="s">
        <v>954</v>
      </c>
      <c r="E21" s="272" t="s">
        <v>955</v>
      </c>
      <c r="F21" s="273" t="n">
        <v>30</v>
      </c>
      <c r="G21" s="273" t="n">
        <v>300</v>
      </c>
      <c r="H21" s="273" t="n">
        <f aca="false">G21*1.05</f>
        <v>315</v>
      </c>
      <c r="I21" s="273" t="s">
        <v>913</v>
      </c>
      <c r="J21" s="273"/>
      <c r="K21" s="272"/>
      <c r="L21" s="274" t="s">
        <v>956</v>
      </c>
      <c r="M21" s="274" t="s">
        <v>957</v>
      </c>
      <c r="N21" s="274" t="s">
        <v>958</v>
      </c>
      <c r="O21" s="272" t="s">
        <v>882</v>
      </c>
      <c r="P21" s="272" t="s">
        <v>882</v>
      </c>
      <c r="Q21" s="272" t="s">
        <v>883</v>
      </c>
      <c r="R21" s="272" t="s">
        <v>881</v>
      </c>
      <c r="S21" s="272" t="s">
        <v>883</v>
      </c>
    </row>
    <row r="22" customFormat="false" ht="22.5" hidden="false" customHeight="true" outlineLevel="0" collapsed="false">
      <c r="A22" s="272" t="s">
        <v>875</v>
      </c>
      <c r="B22" s="272"/>
      <c r="C22" s="272" t="s">
        <v>959</v>
      </c>
      <c r="D22" s="272" t="s">
        <v>960</v>
      </c>
      <c r="E22" s="272" t="s">
        <v>961</v>
      </c>
      <c r="F22" s="273" t="n">
        <v>30</v>
      </c>
      <c r="G22" s="273" t="n">
        <v>250</v>
      </c>
      <c r="H22" s="273" t="n">
        <f aca="false">G22*1.05</f>
        <v>262.5</v>
      </c>
      <c r="I22" s="273"/>
      <c r="J22" s="273"/>
      <c r="K22" s="272"/>
      <c r="L22" s="274" t="s">
        <v>956</v>
      </c>
      <c r="M22" s="274" t="s">
        <v>957</v>
      </c>
      <c r="N22" s="274" t="s">
        <v>958</v>
      </c>
      <c r="O22" s="272" t="s">
        <v>882</v>
      </c>
      <c r="P22" s="272" t="s">
        <v>882</v>
      </c>
      <c r="Q22" s="272" t="s">
        <v>883</v>
      </c>
      <c r="R22" s="272" t="s">
        <v>883</v>
      </c>
      <c r="S22" s="272" t="s">
        <v>883</v>
      </c>
    </row>
    <row r="23" customFormat="false" ht="22.5" hidden="false" customHeight="true" outlineLevel="0" collapsed="false">
      <c r="A23" s="272" t="s">
        <v>915</v>
      </c>
      <c r="B23" s="272"/>
      <c r="C23" s="272" t="s">
        <v>962</v>
      </c>
      <c r="D23" s="272" t="s">
        <v>963</v>
      </c>
      <c r="E23" s="272"/>
      <c r="F23" s="273" t="n">
        <v>30</v>
      </c>
      <c r="G23" s="273" t="s">
        <v>909</v>
      </c>
      <c r="H23" s="273" t="e">
        <f aca="false">G23*1.05</f>
        <v>#VALUE!</v>
      </c>
      <c r="I23" s="273" t="s">
        <v>879</v>
      </c>
      <c r="J23" s="274" t="s">
        <v>880</v>
      </c>
      <c r="K23" s="272"/>
      <c r="L23" s="273"/>
      <c r="M23" s="273"/>
      <c r="N23" s="273"/>
      <c r="O23" s="272"/>
      <c r="P23" s="272"/>
      <c r="Q23" s="272"/>
      <c r="R23" s="272"/>
      <c r="S23" s="272"/>
    </row>
    <row r="24" customFormat="false" ht="22.5" hidden="false" customHeight="true" outlineLevel="0" collapsed="false">
      <c r="A24" s="272" t="s">
        <v>915</v>
      </c>
      <c r="B24" s="272"/>
      <c r="C24" s="272" t="s">
        <v>964</v>
      </c>
      <c r="D24" s="272" t="s">
        <v>965</v>
      </c>
      <c r="E24" s="272" t="s">
        <v>966</v>
      </c>
      <c r="F24" s="273" t="n">
        <v>30</v>
      </c>
      <c r="G24" s="273" t="n">
        <v>250</v>
      </c>
      <c r="H24" s="273" t="n">
        <f aca="false">G24*1.05</f>
        <v>262.5</v>
      </c>
      <c r="I24" s="273" t="s">
        <v>913</v>
      </c>
      <c r="J24" s="273"/>
      <c r="K24" s="272"/>
      <c r="L24" s="274" t="s">
        <v>956</v>
      </c>
      <c r="M24" s="274" t="s">
        <v>957</v>
      </c>
      <c r="N24" s="274" t="s">
        <v>967</v>
      </c>
      <c r="O24" s="272" t="s">
        <v>881</v>
      </c>
      <c r="P24" s="272" t="s">
        <v>881</v>
      </c>
      <c r="Q24" s="272" t="s">
        <v>883</v>
      </c>
      <c r="R24" s="272" t="s">
        <v>883</v>
      </c>
      <c r="S24" s="272" t="s">
        <v>883</v>
      </c>
    </row>
    <row r="25" customFormat="false" ht="22.5" hidden="false" customHeight="true" outlineLevel="0" collapsed="false">
      <c r="A25" s="272" t="s">
        <v>884</v>
      </c>
      <c r="B25" s="272" t="s">
        <v>968</v>
      </c>
      <c r="C25" s="272" t="s">
        <v>969</v>
      </c>
      <c r="D25" s="272" t="s">
        <v>970</v>
      </c>
      <c r="E25" s="272" t="s">
        <v>971</v>
      </c>
      <c r="F25" s="273"/>
      <c r="G25" s="273"/>
      <c r="H25" s="273" t="n">
        <f aca="false">G25*1.05</f>
        <v>0</v>
      </c>
      <c r="I25" s="273"/>
      <c r="J25" s="273"/>
      <c r="K25" s="272"/>
      <c r="L25" s="273"/>
      <c r="M25" s="273"/>
      <c r="N25" s="273"/>
      <c r="O25" s="272" t="s">
        <v>882</v>
      </c>
      <c r="P25" s="272" t="s">
        <v>882</v>
      </c>
      <c r="Q25" s="272"/>
      <c r="R25" s="272"/>
      <c r="S25" s="272"/>
    </row>
    <row r="26" customFormat="false" ht="22.5" hidden="false" customHeight="true" outlineLevel="0" collapsed="false">
      <c r="A26" s="272" t="s">
        <v>915</v>
      </c>
      <c r="B26" s="272"/>
      <c r="C26" s="272" t="s">
        <v>972</v>
      </c>
      <c r="D26" s="272" t="s">
        <v>973</v>
      </c>
      <c r="E26" s="272"/>
      <c r="F26" s="273"/>
      <c r="G26" s="273"/>
      <c r="H26" s="273" t="n">
        <f aca="false">G26*1.05</f>
        <v>0</v>
      </c>
      <c r="I26" s="273"/>
      <c r="J26" s="273"/>
      <c r="K26" s="272"/>
      <c r="L26" s="273"/>
      <c r="M26" s="273"/>
      <c r="N26" s="273"/>
      <c r="O26" s="272"/>
      <c r="P26" s="272"/>
      <c r="Q26" s="272"/>
      <c r="R26" s="272"/>
      <c r="S26" s="272"/>
    </row>
    <row r="27" customFormat="false" ht="22.5" hidden="false" customHeight="true" outlineLevel="0" collapsed="false">
      <c r="A27" s="272" t="s">
        <v>884</v>
      </c>
      <c r="B27" s="272"/>
      <c r="C27" s="272" t="s">
        <v>974</v>
      </c>
      <c r="D27" s="272" t="s">
        <v>975</v>
      </c>
      <c r="E27" s="272" t="s">
        <v>976</v>
      </c>
      <c r="F27" s="273" t="n">
        <v>0</v>
      </c>
      <c r="G27" s="273" t="n">
        <v>100</v>
      </c>
      <c r="H27" s="273" t="n">
        <f aca="false">G27*1.05</f>
        <v>105</v>
      </c>
      <c r="I27" s="273" t="s">
        <v>913</v>
      </c>
      <c r="J27" s="273"/>
      <c r="K27" s="272"/>
      <c r="L27" s="273"/>
      <c r="M27" s="273"/>
      <c r="N27" s="273"/>
      <c r="O27" s="272" t="s">
        <v>881</v>
      </c>
      <c r="P27" s="272" t="s">
        <v>881</v>
      </c>
      <c r="Q27" s="272" t="s">
        <v>883</v>
      </c>
      <c r="R27" s="272" t="s">
        <v>883</v>
      </c>
      <c r="S27" s="272" t="s">
        <v>883</v>
      </c>
    </row>
    <row r="28" customFormat="false" ht="22.5" hidden="false" customHeight="true" outlineLevel="0" collapsed="false">
      <c r="A28" s="272" t="s">
        <v>884</v>
      </c>
      <c r="B28" s="272"/>
      <c r="C28" s="272" t="s">
        <v>977</v>
      </c>
      <c r="D28" s="272" t="s">
        <v>978</v>
      </c>
      <c r="E28" s="272" t="s">
        <v>979</v>
      </c>
      <c r="F28" s="273" t="n">
        <v>0</v>
      </c>
      <c r="G28" s="273" t="n">
        <v>100</v>
      </c>
      <c r="H28" s="273" t="n">
        <f aca="false">G28*1.05</f>
        <v>105</v>
      </c>
      <c r="I28" s="273" t="s">
        <v>913</v>
      </c>
      <c r="J28" s="273"/>
      <c r="K28" s="272"/>
      <c r="L28" s="273"/>
      <c r="M28" s="273"/>
      <c r="N28" s="273"/>
      <c r="O28" s="272" t="s">
        <v>881</v>
      </c>
      <c r="P28" s="272" t="s">
        <v>882</v>
      </c>
      <c r="Q28" s="272" t="s">
        <v>883</v>
      </c>
      <c r="R28" s="272" t="s">
        <v>883</v>
      </c>
      <c r="S28" s="272" t="s">
        <v>883</v>
      </c>
    </row>
    <row r="29" customFormat="false" ht="22.5" hidden="false" customHeight="true" outlineLevel="0" collapsed="false">
      <c r="A29" s="272" t="s">
        <v>884</v>
      </c>
      <c r="B29" s="272"/>
      <c r="C29" s="272" t="s">
        <v>980</v>
      </c>
      <c r="D29" s="272" t="s">
        <v>981</v>
      </c>
      <c r="E29" s="272" t="n">
        <v>4034703539</v>
      </c>
      <c r="F29" s="273" t="n">
        <v>30</v>
      </c>
      <c r="G29" s="273" t="n">
        <v>300</v>
      </c>
      <c r="H29" s="273" t="n">
        <f aca="false">G29*1.05</f>
        <v>315</v>
      </c>
      <c r="I29" s="273" t="s">
        <v>913</v>
      </c>
      <c r="J29" s="273"/>
      <c r="K29" s="272"/>
      <c r="L29" s="273"/>
      <c r="M29" s="273"/>
      <c r="N29" s="273"/>
      <c r="O29" s="272" t="s">
        <v>881</v>
      </c>
      <c r="P29" s="272" t="s">
        <v>881</v>
      </c>
      <c r="Q29" s="272" t="s">
        <v>883</v>
      </c>
      <c r="R29" s="272" t="s">
        <v>883</v>
      </c>
      <c r="S29" s="272" t="s">
        <v>883</v>
      </c>
    </row>
    <row r="30" customFormat="false" ht="22.5" hidden="false" customHeight="true" outlineLevel="0" collapsed="false">
      <c r="A30" s="272" t="s">
        <v>884</v>
      </c>
      <c r="B30" s="272"/>
      <c r="C30" s="272" t="s">
        <v>982</v>
      </c>
      <c r="D30" s="272" t="s">
        <v>983</v>
      </c>
      <c r="E30" s="272" t="s">
        <v>984</v>
      </c>
      <c r="F30" s="273" t="n">
        <v>30</v>
      </c>
      <c r="G30" s="273" t="n">
        <v>300</v>
      </c>
      <c r="H30" s="273" t="n">
        <f aca="false">G30*1.05</f>
        <v>315</v>
      </c>
      <c r="I30" s="273" t="s">
        <v>913</v>
      </c>
      <c r="J30" s="273"/>
      <c r="K30" s="272"/>
      <c r="L30" s="273"/>
      <c r="M30" s="273"/>
      <c r="N30" s="273"/>
      <c r="O30" s="272" t="s">
        <v>881</v>
      </c>
      <c r="P30" s="272" t="s">
        <v>881</v>
      </c>
      <c r="Q30" s="272" t="s">
        <v>883</v>
      </c>
      <c r="R30" s="272" t="s">
        <v>883</v>
      </c>
      <c r="S30" s="272" t="s">
        <v>883</v>
      </c>
    </row>
    <row r="31" customFormat="false" ht="22.5" hidden="false" customHeight="true" outlineLevel="0" collapsed="false">
      <c r="A31" s="272" t="s">
        <v>884</v>
      </c>
      <c r="B31" s="272"/>
      <c r="C31" s="272" t="s">
        <v>985</v>
      </c>
      <c r="D31" s="272" t="s">
        <v>986</v>
      </c>
      <c r="E31" s="272" t="s">
        <v>987</v>
      </c>
      <c r="F31" s="273" t="n">
        <v>30</v>
      </c>
      <c r="G31" s="273" t="n">
        <v>300</v>
      </c>
      <c r="H31" s="273" t="n">
        <f aca="false">G31*1.05</f>
        <v>315</v>
      </c>
      <c r="I31" s="273" t="s">
        <v>913</v>
      </c>
      <c r="J31" s="273"/>
      <c r="K31" s="272"/>
      <c r="L31" s="273"/>
      <c r="M31" s="273"/>
      <c r="N31" s="273"/>
      <c r="O31" s="272" t="s">
        <v>881</v>
      </c>
      <c r="P31" s="272" t="s">
        <v>882</v>
      </c>
      <c r="Q31" s="272" t="s">
        <v>883</v>
      </c>
      <c r="R31" s="272" t="s">
        <v>883</v>
      </c>
      <c r="S31" s="272" t="s">
        <v>883</v>
      </c>
    </row>
    <row r="32" customFormat="false" ht="22.5" hidden="false" customHeight="true" outlineLevel="0" collapsed="false">
      <c r="A32" s="272" t="s">
        <v>884</v>
      </c>
      <c r="B32" s="272" t="s">
        <v>988</v>
      </c>
      <c r="C32" s="272" t="s">
        <v>989</v>
      </c>
      <c r="D32" s="272" t="s">
        <v>990</v>
      </c>
      <c r="E32" s="272" t="s">
        <v>991</v>
      </c>
      <c r="F32" s="273" t="n">
        <v>30</v>
      </c>
      <c r="G32" s="273" t="n">
        <v>300</v>
      </c>
      <c r="H32" s="273" t="n">
        <f aca="false">G32*1.05</f>
        <v>315</v>
      </c>
      <c r="I32" s="273" t="s">
        <v>913</v>
      </c>
      <c r="J32" s="273"/>
      <c r="K32" s="272"/>
      <c r="L32" s="273"/>
      <c r="M32" s="273"/>
      <c r="N32" s="273"/>
      <c r="O32" s="272" t="s">
        <v>881</v>
      </c>
      <c r="P32" s="272" t="s">
        <v>881</v>
      </c>
      <c r="Q32" s="272" t="s">
        <v>883</v>
      </c>
      <c r="R32" s="272" t="s">
        <v>883</v>
      </c>
      <c r="S32" s="272" t="s">
        <v>883</v>
      </c>
    </row>
    <row r="33" customFormat="false" ht="22.5" hidden="false" customHeight="true" outlineLevel="0" collapsed="false">
      <c r="A33" s="272" t="s">
        <v>884</v>
      </c>
      <c r="B33" s="272"/>
      <c r="C33" s="272" t="s">
        <v>992</v>
      </c>
      <c r="D33" s="272" t="s">
        <v>993</v>
      </c>
      <c r="E33" s="272" t="n">
        <v>4034614990</v>
      </c>
      <c r="F33" s="273" t="n">
        <v>30</v>
      </c>
      <c r="G33" s="273" t="n">
        <v>300</v>
      </c>
      <c r="H33" s="273" t="n">
        <f aca="false">G33*1.05</f>
        <v>315</v>
      </c>
      <c r="I33" s="273" t="s">
        <v>913</v>
      </c>
      <c r="J33" s="273"/>
      <c r="K33" s="272"/>
      <c r="L33" s="273"/>
      <c r="M33" s="273"/>
      <c r="N33" s="273"/>
      <c r="O33" s="272" t="s">
        <v>881</v>
      </c>
      <c r="P33" s="272" t="s">
        <v>881</v>
      </c>
      <c r="Q33" s="272" t="s">
        <v>883</v>
      </c>
      <c r="R33" s="272" t="s">
        <v>883</v>
      </c>
      <c r="S33" s="272" t="s">
        <v>883</v>
      </c>
    </row>
    <row r="34" customFormat="false" ht="22.5" hidden="false" customHeight="true" outlineLevel="0" collapsed="false">
      <c r="A34" s="272" t="s">
        <v>884</v>
      </c>
      <c r="B34" s="272"/>
      <c r="C34" s="272" t="s">
        <v>32</v>
      </c>
      <c r="D34" s="272" t="s">
        <v>994</v>
      </c>
      <c r="E34" s="272" t="s">
        <v>995</v>
      </c>
      <c r="F34" s="273" t="n">
        <v>30</v>
      </c>
      <c r="G34" s="273" t="n">
        <v>300</v>
      </c>
      <c r="H34" s="273" t="n">
        <f aca="false">G34*1.05</f>
        <v>315</v>
      </c>
      <c r="I34" s="273" t="s">
        <v>913</v>
      </c>
      <c r="J34" s="273"/>
      <c r="K34" s="272"/>
      <c r="L34" s="273"/>
      <c r="M34" s="273"/>
      <c r="N34" s="273"/>
      <c r="O34" s="272" t="s">
        <v>881</v>
      </c>
      <c r="P34" s="272" t="s">
        <v>881</v>
      </c>
      <c r="Q34" s="272" t="s">
        <v>883</v>
      </c>
      <c r="R34" s="272" t="s">
        <v>883</v>
      </c>
      <c r="S34" s="272" t="s">
        <v>883</v>
      </c>
    </row>
    <row r="35" customFormat="false" ht="22.5" hidden="false" customHeight="true" outlineLevel="0" collapsed="false">
      <c r="A35" s="272" t="s">
        <v>884</v>
      </c>
      <c r="B35" s="272" t="s">
        <v>996</v>
      </c>
      <c r="C35" s="272" t="s">
        <v>997</v>
      </c>
      <c r="D35" s="272" t="s">
        <v>998</v>
      </c>
      <c r="E35" s="272" t="n">
        <v>4034834498</v>
      </c>
      <c r="F35" s="273" t="n">
        <v>30</v>
      </c>
      <c r="G35" s="273" t="n">
        <v>300</v>
      </c>
      <c r="H35" s="273" t="n">
        <f aca="false">G35*1.05</f>
        <v>315</v>
      </c>
      <c r="I35" s="273" t="s">
        <v>913</v>
      </c>
      <c r="J35" s="273"/>
      <c r="K35" s="272"/>
      <c r="L35" s="273"/>
      <c r="M35" s="273"/>
      <c r="N35" s="273"/>
      <c r="O35" s="272" t="s">
        <v>882</v>
      </c>
      <c r="P35" s="272" t="s">
        <v>881</v>
      </c>
      <c r="Q35" s="272" t="s">
        <v>883</v>
      </c>
      <c r="R35" s="272" t="s">
        <v>883</v>
      </c>
      <c r="S35" s="272" t="s">
        <v>883</v>
      </c>
    </row>
    <row r="36" customFormat="false" ht="22.5" hidden="false" customHeight="true" outlineLevel="0" collapsed="false">
      <c r="A36" s="272" t="s">
        <v>884</v>
      </c>
      <c r="B36" s="272"/>
      <c r="C36" s="272" t="s">
        <v>999</v>
      </c>
      <c r="D36" s="272" t="s">
        <v>1000</v>
      </c>
      <c r="E36" s="272" t="n">
        <v>4034154175</v>
      </c>
      <c r="F36" s="273" t="n">
        <v>30</v>
      </c>
      <c r="G36" s="273" t="n">
        <v>200</v>
      </c>
      <c r="H36" s="273" t="n">
        <f aca="false">G36*1.05</f>
        <v>210</v>
      </c>
      <c r="I36" s="273" t="s">
        <v>913</v>
      </c>
      <c r="J36" s="273"/>
      <c r="K36" s="272"/>
      <c r="L36" s="273"/>
      <c r="M36" s="273"/>
      <c r="N36" s="273"/>
      <c r="O36" s="272" t="s">
        <v>881</v>
      </c>
      <c r="P36" s="272" t="s">
        <v>881</v>
      </c>
      <c r="Q36" s="272" t="s">
        <v>883</v>
      </c>
      <c r="R36" s="272" t="s">
        <v>883</v>
      </c>
      <c r="S36" s="272" t="s">
        <v>883</v>
      </c>
    </row>
    <row r="37" customFormat="false" ht="22.5" hidden="false" customHeight="true" outlineLevel="0" collapsed="false">
      <c r="A37" s="272" t="s">
        <v>884</v>
      </c>
      <c r="B37" s="272" t="s">
        <v>1001</v>
      </c>
      <c r="C37" s="272" t="s">
        <v>1002</v>
      </c>
      <c r="D37" s="272" t="s">
        <v>1003</v>
      </c>
      <c r="E37" s="272" t="n">
        <v>4034936557</v>
      </c>
      <c r="F37" s="273" t="n">
        <v>0</v>
      </c>
      <c r="G37" s="273" t="n">
        <v>300</v>
      </c>
      <c r="H37" s="273" t="n">
        <f aca="false">G37*1.05</f>
        <v>315</v>
      </c>
      <c r="I37" s="273" t="s">
        <v>913</v>
      </c>
      <c r="J37" s="273"/>
      <c r="K37" s="272"/>
      <c r="L37" s="273"/>
      <c r="M37" s="273"/>
      <c r="N37" s="273"/>
      <c r="O37" s="272" t="s">
        <v>881</v>
      </c>
      <c r="P37" s="272" t="s">
        <v>882</v>
      </c>
      <c r="Q37" s="272" t="s">
        <v>883</v>
      </c>
      <c r="R37" s="272" t="s">
        <v>881</v>
      </c>
      <c r="S37" s="272" t="s">
        <v>883</v>
      </c>
    </row>
    <row r="38" customFormat="false" ht="22.5" hidden="false" customHeight="true" outlineLevel="0" collapsed="false">
      <c r="A38" s="272" t="s">
        <v>884</v>
      </c>
      <c r="B38" s="272"/>
      <c r="C38" s="272" t="s">
        <v>1004</v>
      </c>
      <c r="D38" s="272" t="s">
        <v>1005</v>
      </c>
      <c r="E38" s="272" t="n">
        <v>4033971636</v>
      </c>
      <c r="F38" s="273" t="n">
        <v>30</v>
      </c>
      <c r="G38" s="273" t="n">
        <v>300</v>
      </c>
      <c r="H38" s="273" t="n">
        <f aca="false">G38*1.05</f>
        <v>315</v>
      </c>
      <c r="I38" s="273" t="s">
        <v>913</v>
      </c>
      <c r="J38" s="273"/>
      <c r="K38" s="272"/>
      <c r="L38" s="273"/>
      <c r="M38" s="273"/>
      <c r="N38" s="273"/>
      <c r="O38" s="272" t="s">
        <v>882</v>
      </c>
      <c r="P38" s="272" t="s">
        <v>881</v>
      </c>
      <c r="Q38" s="272" t="s">
        <v>883</v>
      </c>
      <c r="R38" s="272" t="s">
        <v>883</v>
      </c>
      <c r="S38" s="272" t="s">
        <v>883</v>
      </c>
    </row>
    <row r="39" customFormat="false" ht="22.5" hidden="false" customHeight="true" outlineLevel="0" collapsed="false">
      <c r="A39" s="272" t="s">
        <v>884</v>
      </c>
      <c r="B39" s="272"/>
      <c r="C39" s="272" t="s">
        <v>1006</v>
      </c>
      <c r="D39" s="272" t="s">
        <v>1007</v>
      </c>
      <c r="E39" s="272" t="s">
        <v>1008</v>
      </c>
      <c r="F39" s="273" t="n">
        <v>30</v>
      </c>
      <c r="G39" s="273" t="n">
        <v>300</v>
      </c>
      <c r="H39" s="273" t="n">
        <f aca="false">G39*1.05</f>
        <v>315</v>
      </c>
      <c r="I39" s="273" t="s">
        <v>913</v>
      </c>
      <c r="J39" s="273"/>
      <c r="K39" s="272"/>
      <c r="L39" s="273"/>
      <c r="M39" s="273"/>
      <c r="N39" s="273"/>
      <c r="O39" s="272" t="s">
        <v>881</v>
      </c>
      <c r="P39" s="272" t="s">
        <v>881</v>
      </c>
      <c r="Q39" s="272" t="s">
        <v>883</v>
      </c>
      <c r="R39" s="272" t="s">
        <v>883</v>
      </c>
      <c r="S39" s="272" t="s">
        <v>883</v>
      </c>
    </row>
    <row r="40" customFormat="false" ht="22.5" hidden="false" customHeight="true" outlineLevel="0" collapsed="false">
      <c r="A40" s="272" t="s">
        <v>884</v>
      </c>
      <c r="B40" s="272" t="s">
        <v>1009</v>
      </c>
      <c r="C40" s="272" t="s">
        <v>1010</v>
      </c>
      <c r="D40" s="272" t="s">
        <v>1011</v>
      </c>
      <c r="E40" s="272" t="s">
        <v>1012</v>
      </c>
      <c r="F40" s="273" t="n">
        <v>0</v>
      </c>
      <c r="G40" s="273" t="n">
        <v>100</v>
      </c>
      <c r="H40" s="273" t="n">
        <f aca="false">G40*1.05</f>
        <v>105</v>
      </c>
      <c r="I40" s="273" t="s">
        <v>913</v>
      </c>
      <c r="J40" s="273"/>
      <c r="K40" s="272"/>
      <c r="L40" s="273"/>
      <c r="M40" s="273"/>
      <c r="N40" s="273"/>
      <c r="O40" s="272" t="s">
        <v>882</v>
      </c>
      <c r="P40" s="272" t="s">
        <v>881</v>
      </c>
      <c r="Q40" s="272" t="s">
        <v>883</v>
      </c>
      <c r="R40" s="272" t="s">
        <v>883</v>
      </c>
      <c r="S40" s="272" t="s">
        <v>883</v>
      </c>
    </row>
    <row r="41" customFormat="false" ht="22.5" hidden="false" customHeight="true" outlineLevel="0" collapsed="false">
      <c r="A41" s="272" t="s">
        <v>884</v>
      </c>
      <c r="B41" s="272" t="s">
        <v>1013</v>
      </c>
      <c r="C41" s="272" t="s">
        <v>1014</v>
      </c>
      <c r="D41" s="272" t="s">
        <v>1015</v>
      </c>
      <c r="E41" s="272" t="s">
        <v>1016</v>
      </c>
      <c r="F41" s="273" t="n">
        <v>0</v>
      </c>
      <c r="G41" s="273" t="n">
        <v>100</v>
      </c>
      <c r="H41" s="273" t="n">
        <v>105</v>
      </c>
      <c r="I41" s="273" t="s">
        <v>913</v>
      </c>
      <c r="J41" s="273"/>
      <c r="K41" s="272"/>
      <c r="L41" s="273"/>
      <c r="M41" s="273"/>
      <c r="N41" s="273"/>
      <c r="O41" s="272" t="s">
        <v>881</v>
      </c>
      <c r="P41" s="272" t="s">
        <v>881</v>
      </c>
      <c r="Q41" s="272" t="s">
        <v>883</v>
      </c>
      <c r="R41" s="272" t="s">
        <v>883</v>
      </c>
      <c r="S41" s="272" t="s">
        <v>883</v>
      </c>
    </row>
    <row r="42" customFormat="false" ht="22.5" hidden="false" customHeight="true" outlineLevel="0" collapsed="false">
      <c r="A42" s="272" t="s">
        <v>884</v>
      </c>
      <c r="B42" s="272"/>
      <c r="C42" s="272" t="s">
        <v>1017</v>
      </c>
      <c r="D42" s="272" t="s">
        <v>1018</v>
      </c>
      <c r="E42" s="272" t="s">
        <v>1019</v>
      </c>
      <c r="F42" s="273" t="n">
        <v>0</v>
      </c>
      <c r="G42" s="273" t="n">
        <v>100</v>
      </c>
      <c r="H42" s="273" t="n">
        <f aca="false">G42*1.05</f>
        <v>105</v>
      </c>
      <c r="I42" s="273" t="s">
        <v>913</v>
      </c>
      <c r="J42" s="273"/>
      <c r="K42" s="272"/>
      <c r="L42" s="273"/>
      <c r="M42" s="273"/>
      <c r="N42" s="273"/>
      <c r="O42" s="272" t="s">
        <v>881</v>
      </c>
      <c r="P42" s="272" t="s">
        <v>881</v>
      </c>
      <c r="Q42" s="272" t="s">
        <v>883</v>
      </c>
      <c r="R42" s="272" t="s">
        <v>883</v>
      </c>
      <c r="S42" s="272" t="s">
        <v>883</v>
      </c>
    </row>
    <row r="43" customFormat="false" ht="22.5" hidden="false" customHeight="true" outlineLevel="0" collapsed="false">
      <c r="A43" s="272" t="s">
        <v>884</v>
      </c>
      <c r="B43" s="272"/>
      <c r="C43" s="272" t="s">
        <v>1020</v>
      </c>
      <c r="D43" s="272" t="s">
        <v>1021</v>
      </c>
      <c r="E43" s="272" t="s">
        <v>1022</v>
      </c>
      <c r="F43" s="273" t="n">
        <v>30</v>
      </c>
      <c r="G43" s="273" t="n">
        <v>300</v>
      </c>
      <c r="H43" s="273" t="n">
        <f aca="false">G43*1.05</f>
        <v>315</v>
      </c>
      <c r="I43" s="273" t="s">
        <v>913</v>
      </c>
      <c r="J43" s="273"/>
      <c r="K43" s="272"/>
      <c r="L43" s="273"/>
      <c r="M43" s="273"/>
      <c r="N43" s="273"/>
      <c r="O43" s="272" t="s">
        <v>881</v>
      </c>
      <c r="P43" s="272" t="s">
        <v>881</v>
      </c>
      <c r="Q43" s="272" t="s">
        <v>883</v>
      </c>
      <c r="R43" s="272" t="s">
        <v>883</v>
      </c>
      <c r="S43" s="272" t="s">
        <v>883</v>
      </c>
    </row>
    <row r="44" customFormat="false" ht="22.5" hidden="false" customHeight="true" outlineLevel="0" collapsed="false">
      <c r="A44" s="272" t="s">
        <v>884</v>
      </c>
      <c r="B44" s="272" t="s">
        <v>1023</v>
      </c>
      <c r="C44" s="272" t="s">
        <v>1024</v>
      </c>
      <c r="D44" s="272" t="s">
        <v>1025</v>
      </c>
      <c r="E44" s="272" t="s">
        <v>1026</v>
      </c>
      <c r="F44" s="273" t="n">
        <v>20</v>
      </c>
      <c r="G44" s="273" t="n">
        <v>300</v>
      </c>
      <c r="H44" s="273" t="n">
        <f aca="false">G44*1.05</f>
        <v>315</v>
      </c>
      <c r="I44" s="273" t="s">
        <v>913</v>
      </c>
      <c r="J44" s="273"/>
      <c r="K44" s="272"/>
      <c r="L44" s="273"/>
      <c r="M44" s="273"/>
      <c r="N44" s="273"/>
      <c r="O44" s="272" t="s">
        <v>881</v>
      </c>
      <c r="P44" s="272" t="s">
        <v>882</v>
      </c>
      <c r="Q44" s="272" t="s">
        <v>883</v>
      </c>
      <c r="R44" s="272" t="s">
        <v>883</v>
      </c>
      <c r="S44" s="272" t="s">
        <v>883</v>
      </c>
    </row>
    <row r="45" customFormat="false" ht="22.5" hidden="false" customHeight="true" outlineLevel="0" collapsed="false">
      <c r="A45" s="272" t="s">
        <v>884</v>
      </c>
      <c r="B45" s="272"/>
      <c r="C45" s="272" t="s">
        <v>1027</v>
      </c>
      <c r="D45" s="272" t="s">
        <v>1028</v>
      </c>
      <c r="E45" s="272" t="s">
        <v>1029</v>
      </c>
      <c r="F45" s="273" t="n">
        <v>30</v>
      </c>
      <c r="G45" s="273" t="n">
        <v>300</v>
      </c>
      <c r="H45" s="273" t="n">
        <f aca="false">G45*1.05</f>
        <v>315</v>
      </c>
      <c r="I45" s="273" t="s">
        <v>913</v>
      </c>
      <c r="J45" s="273"/>
      <c r="K45" s="272"/>
      <c r="L45" s="273"/>
      <c r="M45" s="273"/>
      <c r="N45" s="273"/>
      <c r="O45" s="272" t="s">
        <v>881</v>
      </c>
      <c r="P45" s="272" t="s">
        <v>882</v>
      </c>
      <c r="Q45" s="272" t="s">
        <v>883</v>
      </c>
      <c r="R45" s="272" t="s">
        <v>883</v>
      </c>
      <c r="S45" s="272" t="s">
        <v>883</v>
      </c>
    </row>
    <row r="46" customFormat="false" ht="22.5" hidden="false" customHeight="true" outlineLevel="0" collapsed="false">
      <c r="A46" s="272" t="s">
        <v>884</v>
      </c>
      <c r="B46" s="272"/>
      <c r="C46" s="272" t="s">
        <v>1030</v>
      </c>
      <c r="D46" s="272" t="s">
        <v>1031</v>
      </c>
      <c r="E46" s="272" t="s">
        <v>1032</v>
      </c>
      <c r="F46" s="273" t="n">
        <v>30</v>
      </c>
      <c r="G46" s="273" t="n">
        <v>300</v>
      </c>
      <c r="H46" s="273" t="n">
        <f aca="false">G46*1.05</f>
        <v>315</v>
      </c>
      <c r="I46" s="273" t="s">
        <v>913</v>
      </c>
      <c r="J46" s="273"/>
      <c r="K46" s="272"/>
      <c r="L46" s="273"/>
      <c r="M46" s="273"/>
      <c r="N46" s="273"/>
      <c r="O46" s="272" t="s">
        <v>881</v>
      </c>
      <c r="P46" s="272" t="s">
        <v>881</v>
      </c>
      <c r="Q46" s="272" t="s">
        <v>883</v>
      </c>
      <c r="R46" s="272" t="s">
        <v>883</v>
      </c>
      <c r="S46" s="272" t="s">
        <v>883</v>
      </c>
    </row>
    <row r="47" customFormat="false" ht="22.5" hidden="false" customHeight="true" outlineLevel="0" collapsed="false">
      <c r="A47" s="272" t="s">
        <v>875</v>
      </c>
      <c r="B47" s="272"/>
      <c r="C47" s="272" t="s">
        <v>906</v>
      </c>
      <c r="D47" s="272" t="s">
        <v>907</v>
      </c>
      <c r="E47" s="272" t="s">
        <v>908</v>
      </c>
      <c r="F47" s="273" t="n">
        <v>0</v>
      </c>
      <c r="G47" s="273" t="n">
        <v>0</v>
      </c>
      <c r="H47" s="273" t="n">
        <f aca="false">G47*1.05</f>
        <v>0</v>
      </c>
      <c r="I47" s="273"/>
      <c r="J47" s="273"/>
      <c r="K47" s="272"/>
      <c r="L47" s="273"/>
      <c r="M47" s="273"/>
      <c r="N47" s="273"/>
      <c r="O47" s="272" t="s">
        <v>881</v>
      </c>
      <c r="P47" s="272" t="s">
        <v>881</v>
      </c>
      <c r="Q47" s="272" t="s">
        <v>881</v>
      </c>
      <c r="R47" s="272" t="s">
        <v>881</v>
      </c>
      <c r="S47" s="272" t="s">
        <v>881</v>
      </c>
    </row>
    <row r="48" customFormat="false" ht="22.5" hidden="false" customHeight="true" outlineLevel="0" collapsed="false">
      <c r="A48" s="272" t="s">
        <v>875</v>
      </c>
      <c r="B48" s="272"/>
      <c r="C48" s="272" t="s">
        <v>930</v>
      </c>
      <c r="D48" s="272" t="s">
        <v>931</v>
      </c>
      <c r="E48" s="272" t="s">
        <v>932</v>
      </c>
      <c r="F48" s="273" t="n">
        <v>0</v>
      </c>
      <c r="G48" s="273" t="n">
        <v>0</v>
      </c>
      <c r="H48" s="273" t="n">
        <f aca="false">G48*1.05</f>
        <v>0</v>
      </c>
      <c r="I48" s="273"/>
      <c r="J48" s="273"/>
      <c r="K48" s="272"/>
      <c r="L48" s="273"/>
      <c r="M48" s="273"/>
      <c r="N48" s="273"/>
      <c r="O48" s="272" t="s">
        <v>881</v>
      </c>
      <c r="P48" s="272" t="s">
        <v>881</v>
      </c>
      <c r="Q48" s="272" t="s">
        <v>881</v>
      </c>
      <c r="R48" s="272" t="s">
        <v>881</v>
      </c>
      <c r="S48" s="272" t="s">
        <v>881</v>
      </c>
    </row>
    <row r="49" customFormat="false" ht="22.5" hidden="false" customHeight="true" outlineLevel="0" collapsed="false">
      <c r="A49" s="272" t="s">
        <v>884</v>
      </c>
      <c r="B49" s="272"/>
      <c r="C49" s="272" t="s">
        <v>1033</v>
      </c>
      <c r="D49" s="272" t="s">
        <v>1034</v>
      </c>
      <c r="E49" s="272" t="n">
        <v>5879663178</v>
      </c>
      <c r="F49" s="273" t="n">
        <v>30</v>
      </c>
      <c r="G49" s="273" t="n">
        <v>300</v>
      </c>
      <c r="H49" s="273" t="n">
        <f aca="false">G49*1.05</f>
        <v>315</v>
      </c>
      <c r="I49" s="273" t="s">
        <v>913</v>
      </c>
      <c r="J49" s="273"/>
      <c r="K49" s="272"/>
      <c r="L49" s="273"/>
      <c r="M49" s="273"/>
      <c r="N49" s="273"/>
      <c r="O49" s="272" t="s">
        <v>881</v>
      </c>
      <c r="P49" s="272" t="s">
        <v>881</v>
      </c>
      <c r="Q49" s="272" t="s">
        <v>883</v>
      </c>
      <c r="R49" s="272" t="s">
        <v>883</v>
      </c>
      <c r="S49" s="272" t="s">
        <v>883</v>
      </c>
    </row>
    <row r="50" customFormat="false" ht="22.5" hidden="false" customHeight="true" outlineLevel="0" collapsed="false">
      <c r="A50" s="272" t="s">
        <v>884</v>
      </c>
      <c r="B50" s="272" t="s">
        <v>1035</v>
      </c>
      <c r="C50" s="272" t="s">
        <v>1036</v>
      </c>
      <c r="D50" s="272" t="s">
        <v>1037</v>
      </c>
      <c r="E50" s="272" t="n">
        <v>6477020020</v>
      </c>
      <c r="F50" s="273" t="n">
        <v>30</v>
      </c>
      <c r="G50" s="273" t="n">
        <v>300</v>
      </c>
      <c r="H50" s="273" t="n">
        <f aca="false">G50*1.05</f>
        <v>315</v>
      </c>
      <c r="I50" s="273" t="s">
        <v>913</v>
      </c>
      <c r="J50" s="273"/>
      <c r="K50" s="272"/>
      <c r="L50" s="273"/>
      <c r="M50" s="273"/>
      <c r="N50" s="273"/>
      <c r="O50" s="272" t="s">
        <v>882</v>
      </c>
      <c r="P50" s="272" t="s">
        <v>882</v>
      </c>
      <c r="Q50" s="272" t="s">
        <v>883</v>
      </c>
      <c r="R50" s="272" t="s">
        <v>883</v>
      </c>
      <c r="S50" s="272" t="s">
        <v>883</v>
      </c>
    </row>
    <row r="51" customFormat="false" ht="22.5" hidden="false" customHeight="true" outlineLevel="0" collapsed="false">
      <c r="A51" s="272" t="s">
        <v>884</v>
      </c>
      <c r="B51" s="272"/>
      <c r="C51" s="272" t="s">
        <v>1038</v>
      </c>
      <c r="D51" s="272" t="s">
        <v>1039</v>
      </c>
      <c r="E51" s="272" t="s">
        <v>1040</v>
      </c>
      <c r="F51" s="273" t="n">
        <v>30</v>
      </c>
      <c r="G51" s="273" t="n">
        <v>300</v>
      </c>
      <c r="H51" s="273" t="n">
        <f aca="false">G51*1.05</f>
        <v>315</v>
      </c>
      <c r="I51" s="273" t="s">
        <v>913</v>
      </c>
      <c r="J51" s="273"/>
      <c r="K51" s="272"/>
      <c r="L51" s="273"/>
      <c r="M51" s="273"/>
      <c r="N51" s="273"/>
      <c r="O51" s="272" t="s">
        <v>881</v>
      </c>
      <c r="P51" s="272" t="s">
        <v>881</v>
      </c>
      <c r="Q51" s="272" t="s">
        <v>883</v>
      </c>
      <c r="R51" s="272" t="s">
        <v>883</v>
      </c>
      <c r="S51" s="272" t="s">
        <v>883</v>
      </c>
    </row>
    <row r="52" customFormat="false" ht="22.5" hidden="false" customHeight="true" outlineLevel="0" collapsed="false">
      <c r="A52" s="272" t="s">
        <v>884</v>
      </c>
      <c r="B52" s="272"/>
      <c r="C52" s="272" t="s">
        <v>1041</v>
      </c>
      <c r="D52" s="272" t="s">
        <v>1042</v>
      </c>
      <c r="E52" s="272" t="n">
        <v>6476316112</v>
      </c>
      <c r="F52" s="273" t="n">
        <v>30</v>
      </c>
      <c r="G52" s="273" t="n">
        <v>300</v>
      </c>
      <c r="H52" s="273" t="n">
        <f aca="false">G52*1.05</f>
        <v>315</v>
      </c>
      <c r="I52" s="273" t="s">
        <v>913</v>
      </c>
      <c r="J52" s="273"/>
      <c r="K52" s="272"/>
      <c r="L52" s="273"/>
      <c r="M52" s="273"/>
      <c r="N52" s="273"/>
      <c r="O52" s="272" t="s">
        <v>881</v>
      </c>
      <c r="P52" s="272" t="s">
        <v>881</v>
      </c>
      <c r="Q52" s="272" t="s">
        <v>883</v>
      </c>
      <c r="R52" s="272" t="s">
        <v>883</v>
      </c>
      <c r="S52" s="272" t="s">
        <v>883</v>
      </c>
    </row>
    <row r="53" customFormat="false" ht="22.5" hidden="false" customHeight="true" outlineLevel="0" collapsed="false">
      <c r="A53" s="272" t="s">
        <v>884</v>
      </c>
      <c r="B53" s="272" t="s">
        <v>1043</v>
      </c>
      <c r="C53" s="272" t="s">
        <v>1044</v>
      </c>
      <c r="D53" s="272" t="s">
        <v>1045</v>
      </c>
      <c r="E53" s="272" t="n">
        <v>5878390315</v>
      </c>
      <c r="F53" s="273" t="n">
        <v>30</v>
      </c>
      <c r="G53" s="273" t="n">
        <v>300</v>
      </c>
      <c r="H53" s="273" t="n">
        <f aca="false">G53*1.05</f>
        <v>315</v>
      </c>
      <c r="I53" s="273" t="s">
        <v>913</v>
      </c>
      <c r="J53" s="273"/>
      <c r="K53" s="272"/>
      <c r="L53" s="273"/>
      <c r="M53" s="273"/>
      <c r="N53" s="273"/>
      <c r="O53" s="272" t="s">
        <v>882</v>
      </c>
      <c r="P53" s="272" t="s">
        <v>882</v>
      </c>
      <c r="Q53" s="272" t="s">
        <v>883</v>
      </c>
      <c r="R53" s="272" t="s">
        <v>883</v>
      </c>
      <c r="S53" s="272" t="s">
        <v>883</v>
      </c>
    </row>
    <row r="54" customFormat="false" ht="22.5" hidden="false" customHeight="true" outlineLevel="0" collapsed="false">
      <c r="A54" s="272" t="s">
        <v>884</v>
      </c>
      <c r="B54" s="272"/>
      <c r="C54" s="272" t="s">
        <v>1046</v>
      </c>
      <c r="D54" s="272" t="s">
        <v>1047</v>
      </c>
      <c r="E54" s="272" t="s">
        <v>1048</v>
      </c>
      <c r="F54" s="273" t="n">
        <v>0</v>
      </c>
      <c r="G54" s="273" t="n">
        <v>0</v>
      </c>
      <c r="H54" s="273" t="n">
        <f aca="false">G54*1.05</f>
        <v>0</v>
      </c>
      <c r="I54" s="273"/>
      <c r="J54" s="273"/>
      <c r="K54" s="272"/>
      <c r="L54" s="273"/>
      <c r="M54" s="273"/>
      <c r="N54" s="273"/>
      <c r="O54" s="272" t="s">
        <v>881</v>
      </c>
      <c r="P54" s="272" t="s">
        <v>881</v>
      </c>
      <c r="Q54" s="272"/>
      <c r="R54" s="272"/>
      <c r="S54" s="272"/>
    </row>
    <row r="55" customFormat="false" ht="22.5" hidden="false" customHeight="true" outlineLevel="0" collapsed="false">
      <c r="A55" s="272" t="s">
        <v>884</v>
      </c>
      <c r="B55" s="272"/>
      <c r="C55" s="272" t="s">
        <v>1049</v>
      </c>
      <c r="D55" s="272" t="s">
        <v>1050</v>
      </c>
      <c r="E55" s="272" t="s">
        <v>1051</v>
      </c>
      <c r="F55" s="273" t="n">
        <v>30</v>
      </c>
      <c r="G55" s="273" t="n">
        <v>300</v>
      </c>
      <c r="H55" s="273" t="n">
        <f aca="false">G55*1.05</f>
        <v>315</v>
      </c>
      <c r="I55" s="273" t="s">
        <v>913</v>
      </c>
      <c r="J55" s="273"/>
      <c r="K55" s="272"/>
      <c r="L55" s="273"/>
      <c r="M55" s="273"/>
      <c r="N55" s="273"/>
      <c r="O55" s="272" t="s">
        <v>882</v>
      </c>
      <c r="P55" s="272" t="s">
        <v>882</v>
      </c>
      <c r="Q55" s="272" t="s">
        <v>883</v>
      </c>
      <c r="R55" s="272" t="s">
        <v>883</v>
      </c>
      <c r="S55" s="272" t="s">
        <v>883</v>
      </c>
    </row>
    <row r="56" customFormat="false" ht="22.5" hidden="false" customHeight="true" outlineLevel="0" collapsed="false">
      <c r="A56" s="272" t="s">
        <v>884</v>
      </c>
      <c r="B56" s="272" t="s">
        <v>1052</v>
      </c>
      <c r="C56" s="272" t="s">
        <v>1053</v>
      </c>
      <c r="D56" s="272" t="s">
        <v>1054</v>
      </c>
      <c r="E56" s="272" t="s">
        <v>1055</v>
      </c>
      <c r="F56" s="273" t="n">
        <v>0</v>
      </c>
      <c r="G56" s="273" t="n">
        <v>0</v>
      </c>
      <c r="H56" s="273" t="n">
        <f aca="false">G56*1.05</f>
        <v>0</v>
      </c>
      <c r="I56" s="273"/>
      <c r="J56" s="273"/>
      <c r="K56" s="272"/>
      <c r="L56" s="273"/>
      <c r="M56" s="273"/>
      <c r="N56" s="273"/>
      <c r="O56" s="272" t="s">
        <v>881</v>
      </c>
      <c r="P56" s="272" t="s">
        <v>881</v>
      </c>
      <c r="Q56" s="272"/>
      <c r="R56" s="272"/>
      <c r="S56" s="272"/>
    </row>
    <row r="57" customFormat="false" ht="22.5" hidden="false" customHeight="true" outlineLevel="0" collapsed="false">
      <c r="A57" s="272" t="s">
        <v>875</v>
      </c>
      <c r="B57" s="272"/>
      <c r="C57" s="272" t="s">
        <v>1056</v>
      </c>
      <c r="D57" s="272" t="s">
        <v>1057</v>
      </c>
      <c r="E57" s="272" t="n">
        <v>4038744989</v>
      </c>
      <c r="F57" s="273" t="n">
        <v>0</v>
      </c>
      <c r="G57" s="273" t="n">
        <v>200</v>
      </c>
      <c r="H57" s="273" t="n">
        <f aca="false">G57*1.05</f>
        <v>210</v>
      </c>
      <c r="I57" s="273" t="s">
        <v>913</v>
      </c>
      <c r="J57" s="273"/>
      <c r="K57" s="272"/>
      <c r="L57" s="273"/>
      <c r="M57" s="273"/>
      <c r="N57" s="273"/>
      <c r="O57" s="272" t="s">
        <v>881</v>
      </c>
      <c r="P57" s="272" t="s">
        <v>881</v>
      </c>
      <c r="Q57" s="272" t="s">
        <v>883</v>
      </c>
      <c r="R57" s="272" t="s">
        <v>883</v>
      </c>
      <c r="S57" s="272" t="s">
        <v>883</v>
      </c>
    </row>
    <row r="58" customFormat="false" ht="22.5" hidden="false" customHeight="true" outlineLevel="0" collapsed="false">
      <c r="A58" s="272" t="s">
        <v>875</v>
      </c>
      <c r="B58" s="272"/>
      <c r="C58" s="272" t="s">
        <v>1058</v>
      </c>
      <c r="D58" s="272" t="s">
        <v>1059</v>
      </c>
      <c r="E58" s="272" t="s">
        <v>1060</v>
      </c>
      <c r="F58" s="273" t="n">
        <v>30</v>
      </c>
      <c r="G58" s="273" t="n">
        <v>300</v>
      </c>
      <c r="H58" s="273" t="n">
        <f aca="false">G58*1.05</f>
        <v>315</v>
      </c>
      <c r="I58" s="273" t="s">
        <v>913</v>
      </c>
      <c r="J58" s="273"/>
      <c r="K58" s="272"/>
      <c r="L58" s="273"/>
      <c r="M58" s="273"/>
      <c r="N58" s="273"/>
      <c r="O58" s="272" t="s">
        <v>881</v>
      </c>
      <c r="P58" s="272" t="s">
        <v>881</v>
      </c>
      <c r="Q58" s="272" t="s">
        <v>883</v>
      </c>
      <c r="R58" s="272" t="s">
        <v>883</v>
      </c>
      <c r="S58" s="272" t="s">
        <v>883</v>
      </c>
    </row>
    <row r="59" customFormat="false" ht="22.5" hidden="false" customHeight="true" outlineLevel="0" collapsed="false">
      <c r="A59" s="272" t="s">
        <v>875</v>
      </c>
      <c r="B59" s="272"/>
      <c r="C59" s="272" t="s">
        <v>916</v>
      </c>
      <c r="D59" s="272" t="s">
        <v>917</v>
      </c>
      <c r="E59" s="272" t="s">
        <v>918</v>
      </c>
      <c r="F59" s="273" t="n">
        <v>0</v>
      </c>
      <c r="G59" s="273" t="n">
        <v>0</v>
      </c>
      <c r="H59" s="273" t="n">
        <f aca="false">G59*1.05</f>
        <v>0</v>
      </c>
      <c r="I59" s="273"/>
      <c r="J59" s="273"/>
      <c r="K59" s="272"/>
      <c r="L59" s="273"/>
      <c r="M59" s="273"/>
      <c r="N59" s="273"/>
      <c r="O59" s="272" t="s">
        <v>881</v>
      </c>
      <c r="P59" s="272" t="s">
        <v>881</v>
      </c>
      <c r="Q59" s="272" t="s">
        <v>881</v>
      </c>
      <c r="R59" s="272" t="s">
        <v>881</v>
      </c>
      <c r="S59" s="272" t="s">
        <v>881</v>
      </c>
    </row>
  </sheetData>
  <dataValidations count="5">
    <dataValidation allowBlank="true" errorStyle="stop" operator="between" showDropDown="false" showErrorMessage="true" showInputMessage="false" sqref="O2:P59" type="list">
      <formula1>"YES ,NO"</formula1>
      <formula2>0</formula2>
    </dataValidation>
    <dataValidation allowBlank="true" errorStyle="stop" operator="between" showDropDown="false" showErrorMessage="false" showInputMessage="false" sqref="A2:A59" type="list">
      <formula1>"ACTIVE AGENT,IN PENDING,NO LONGER AN AGENT"</formula1>
      <formula2>0</formula2>
    </dataValidation>
    <dataValidation allowBlank="true" errorStyle="stop" operator="between" showDropDown="true" showErrorMessage="false" showInputMessage="false" sqref="H2:H59 L2:N59" type="custom">
      <formula1>AND(ISNUMBER(H2),(NOT(OR(NOT(ISERROR(DATEVALUE(H2))), AND(ISNUMBER(H2), LEFT(CELL("format", H2))="D")))))</formula1>
      <formula2>0</formula2>
    </dataValidation>
    <dataValidation allowBlank="true" errorStyle="stop" operator="between" showDropDown="false" showErrorMessage="false" showInputMessage="false" sqref="Q2:Q59" type="list">
      <formula1>"YES,NO"</formula1>
      <formula2>0</formula2>
    </dataValidation>
    <dataValidation allowBlank="true" errorStyle="stop" operator="between" showDropDown="false" showErrorMessage="false" showInputMessage="false" sqref="R2:S5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5.75"/>
    <col collapsed="false" customWidth="true" hidden="false" outlineLevel="0" max="2" min="2" style="0" width="20.75"/>
    <col collapsed="false" customWidth="true" hidden="false" outlineLevel="0" max="3" min="3" style="0" width="17.75"/>
    <col collapsed="false" customWidth="true" hidden="false" outlineLevel="0" max="4" min="4" style="0" width="26.12"/>
    <col collapsed="false" customWidth="true" hidden="false" outlineLevel="0" max="5" min="5" style="0" width="20.63"/>
  </cols>
  <sheetData>
    <row r="1" customFormat="false" ht="22.5" hidden="false" customHeight="true" outlineLevel="0" collapsed="false">
      <c r="A1" s="275" t="s">
        <v>80</v>
      </c>
      <c r="B1" s="275" t="s">
        <v>81</v>
      </c>
      <c r="C1" s="275" t="s">
        <v>82</v>
      </c>
      <c r="D1" s="275" t="s">
        <v>83</v>
      </c>
      <c r="E1" s="275" t="s">
        <v>22</v>
      </c>
      <c r="F1" s="276" t="s">
        <v>84</v>
      </c>
      <c r="G1" s="275" t="s">
        <v>85</v>
      </c>
      <c r="H1" s="275" t="s">
        <v>86</v>
      </c>
      <c r="I1" s="275" t="s">
        <v>87</v>
      </c>
      <c r="J1" s="275" t="s">
        <v>91</v>
      </c>
      <c r="K1" s="275" t="s">
        <v>92</v>
      </c>
      <c r="L1" s="275" t="s">
        <v>93</v>
      </c>
      <c r="M1" s="275" t="s">
        <v>94</v>
      </c>
      <c r="N1" s="275" t="s">
        <v>95</v>
      </c>
      <c r="O1" s="275" t="s">
        <v>96</v>
      </c>
      <c r="P1" s="275" t="s">
        <v>97</v>
      </c>
      <c r="Q1" s="275" t="s">
        <v>98</v>
      </c>
      <c r="R1" s="275" t="s">
        <v>99</v>
      </c>
      <c r="S1" s="275" t="s">
        <v>101</v>
      </c>
      <c r="T1" s="275" t="s">
        <v>102</v>
      </c>
      <c r="U1" s="275" t="s">
        <v>10</v>
      </c>
    </row>
    <row r="2" customFormat="false" ht="15.75" hidden="false" customHeight="false" outlineLevel="0" collapsed="false">
      <c r="A2" s="277" t="n">
        <v>46202</v>
      </c>
      <c r="B2" s="278" t="s">
        <v>103</v>
      </c>
      <c r="C2" s="279" t="s">
        <v>626</v>
      </c>
      <c r="D2" s="278" t="s">
        <v>1061</v>
      </c>
      <c r="E2" s="278" t="s">
        <v>26</v>
      </c>
      <c r="F2" s="280" t="n">
        <v>914</v>
      </c>
      <c r="G2" s="278"/>
      <c r="H2" s="278" t="s">
        <v>107</v>
      </c>
      <c r="I2" s="278" t="s">
        <v>108</v>
      </c>
      <c r="J2" s="278"/>
      <c r="K2" s="278"/>
      <c r="L2" s="281" t="n">
        <v>799</v>
      </c>
      <c r="M2" s="278"/>
      <c r="N2" s="278"/>
      <c r="O2" s="278"/>
      <c r="P2" s="278"/>
      <c r="Q2" s="282" t="n">
        <v>0.07</v>
      </c>
      <c r="R2" s="283"/>
      <c r="S2" s="283"/>
      <c r="T2" s="283"/>
      <c r="U2" s="278"/>
    </row>
    <row r="3" customFormat="false" ht="15.75" hidden="false" customHeight="false" outlineLevel="0" collapsed="false">
      <c r="A3" s="277" t="n">
        <v>46202</v>
      </c>
      <c r="B3" s="278" t="s">
        <v>103</v>
      </c>
      <c r="C3" s="279" t="s">
        <v>626</v>
      </c>
      <c r="D3" s="278" t="s">
        <v>1062</v>
      </c>
      <c r="E3" s="278" t="s">
        <v>26</v>
      </c>
      <c r="F3" s="280" t="n">
        <v>3507</v>
      </c>
      <c r="G3" s="278"/>
      <c r="H3" s="278" t="s">
        <v>107</v>
      </c>
      <c r="I3" s="278" t="s">
        <v>108</v>
      </c>
      <c r="J3" s="278"/>
      <c r="K3" s="278"/>
      <c r="L3" s="281" t="n">
        <v>799</v>
      </c>
      <c r="M3" s="278"/>
      <c r="N3" s="278"/>
      <c r="O3" s="278"/>
      <c r="P3" s="278"/>
      <c r="Q3" s="282" t="n">
        <v>0.07</v>
      </c>
      <c r="R3" s="283"/>
      <c r="S3" s="283"/>
      <c r="T3" s="283"/>
      <c r="U3" s="278"/>
    </row>
    <row r="4" customFormat="false" ht="15.75" hidden="false" customHeight="false" outlineLevel="0" collapsed="false">
      <c r="A4" s="277" t="n">
        <v>46202</v>
      </c>
      <c r="B4" s="278" t="s">
        <v>103</v>
      </c>
      <c r="C4" s="279" t="s">
        <v>626</v>
      </c>
      <c r="D4" s="278" t="s">
        <v>1063</v>
      </c>
      <c r="E4" s="278" t="s">
        <v>26</v>
      </c>
      <c r="F4" s="280" t="n">
        <v>2408</v>
      </c>
      <c r="G4" s="278"/>
      <c r="H4" s="278" t="s">
        <v>107</v>
      </c>
      <c r="I4" s="278" t="s">
        <v>108</v>
      </c>
      <c r="J4" s="278"/>
      <c r="K4" s="278"/>
      <c r="L4" s="281" t="n">
        <v>799</v>
      </c>
      <c r="M4" s="278"/>
      <c r="N4" s="278"/>
      <c r="O4" s="278"/>
      <c r="P4" s="278"/>
      <c r="Q4" s="282" t="n">
        <v>0.07</v>
      </c>
      <c r="R4" s="283"/>
      <c r="S4" s="283"/>
      <c r="T4" s="283"/>
      <c r="U4" s="2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28.5"/>
    <col collapsed="false" customWidth="true" hidden="false" outlineLevel="0" max="3" min="3" style="0" width="26.25"/>
    <col collapsed="false" customWidth="true" hidden="false" outlineLevel="0" max="5" min="5" style="0" width="64.25"/>
    <col collapsed="false" customWidth="true" hidden="false" outlineLevel="0" max="7" min="7" style="0" width="34.88"/>
  </cols>
  <sheetData>
    <row r="1" customFormat="false" ht="22.5" hidden="false" customHeight="true" outlineLevel="0" collapsed="false">
      <c r="A1" s="16" t="s">
        <v>1064</v>
      </c>
      <c r="B1" s="17" t="s">
        <v>82</v>
      </c>
      <c r="C1" s="17" t="s">
        <v>83</v>
      </c>
      <c r="D1" s="284" t="s">
        <v>1065</v>
      </c>
      <c r="E1" s="284" t="s">
        <v>1066</v>
      </c>
    </row>
    <row r="2" customFormat="false" ht="22.5" hidden="false" customHeight="true" outlineLevel="0" collapsed="false">
      <c r="A2" s="21" t="n">
        <v>46252</v>
      </c>
      <c r="B2" s="52" t="s">
        <v>540</v>
      </c>
      <c r="C2" s="185" t="s">
        <v>541</v>
      </c>
      <c r="D2" s="285" t="s">
        <v>766</v>
      </c>
      <c r="E2" s="285"/>
    </row>
    <row r="3" customFormat="false" ht="22.5" hidden="false" customHeight="true" outlineLevel="0" collapsed="false">
      <c r="A3" s="21" t="n">
        <v>46252</v>
      </c>
      <c r="B3" s="183" t="s">
        <v>763</v>
      </c>
      <c r="C3" s="38"/>
      <c r="D3" s="38"/>
      <c r="E3" s="41" t="s">
        <v>1067</v>
      </c>
    </row>
    <row r="4" customFormat="false" ht="22.5" hidden="false" customHeight="true" outlineLevel="0" collapsed="false">
      <c r="A4" s="21"/>
      <c r="B4" s="23"/>
      <c r="C4" s="24"/>
      <c r="D4" s="24"/>
      <c r="E4" s="24"/>
    </row>
    <row r="5" customFormat="false" ht="22.5" hidden="false" customHeight="true" outlineLevel="0" collapsed="false">
      <c r="A5" s="35"/>
      <c r="B5" s="37"/>
      <c r="C5" s="38"/>
      <c r="D5" s="38"/>
      <c r="E5" s="38"/>
    </row>
    <row r="6" customFormat="false" ht="22.5" hidden="false" customHeight="true" outlineLevel="0" collapsed="false">
      <c r="A6" s="21"/>
      <c r="B6" s="23"/>
      <c r="C6" s="24"/>
      <c r="D6" s="24"/>
      <c r="E6" s="24"/>
    </row>
    <row r="7" customFormat="false" ht="22.5" hidden="false" customHeight="true" outlineLevel="0" collapsed="false">
      <c r="A7" s="35"/>
      <c r="B7" s="37"/>
      <c r="C7" s="38"/>
      <c r="D7" s="38"/>
      <c r="E7" s="38"/>
    </row>
    <row r="8" customFormat="false" ht="22.5" hidden="false" customHeight="true" outlineLevel="0" collapsed="false">
      <c r="A8" s="21"/>
      <c r="B8" s="23"/>
      <c r="C8" s="23"/>
      <c r="D8" s="23"/>
      <c r="E8" s="23"/>
    </row>
    <row r="9" customFormat="false" ht="22.5" hidden="false" customHeight="true" outlineLevel="0" collapsed="false">
      <c r="A9" s="35"/>
      <c r="B9" s="37"/>
      <c r="C9" s="38"/>
      <c r="D9" s="38"/>
      <c r="E9" s="38"/>
    </row>
    <row r="10" customFormat="false" ht="22.5" hidden="false" customHeight="true" outlineLevel="0" collapsed="false">
      <c r="A10" s="21"/>
      <c r="B10" s="23"/>
      <c r="C10" s="24"/>
      <c r="D10" s="24"/>
      <c r="E10" s="24"/>
    </row>
    <row r="11" customFormat="false" ht="22.5" hidden="false" customHeight="true" outlineLevel="0" collapsed="false">
      <c r="A11" s="35"/>
      <c r="B11" s="37"/>
      <c r="C11" s="37"/>
      <c r="D11" s="37"/>
      <c r="E11" s="37"/>
    </row>
    <row r="12" customFormat="false" ht="22.5" hidden="false" customHeight="true" outlineLevel="0" collapsed="false">
      <c r="A12" s="21"/>
      <c r="B12" s="23"/>
      <c r="C12" s="23"/>
      <c r="D12" s="23"/>
      <c r="E12" s="23"/>
      <c r="G12" s="286" t="s">
        <v>1068</v>
      </c>
      <c r="H12" s="287" t="n">
        <v>46266</v>
      </c>
    </row>
    <row r="13" customFormat="false" ht="22.5" hidden="false" customHeight="true" outlineLevel="0" collapsed="false">
      <c r="A13" s="35"/>
      <c r="B13" s="37"/>
      <c r="C13" s="37"/>
      <c r="D13" s="37"/>
      <c r="E13" s="37"/>
      <c r="G13" s="286" t="s">
        <v>1068</v>
      </c>
    </row>
    <row r="14" customFormat="false" ht="22.5" hidden="false" customHeight="true" outlineLevel="0" collapsed="false">
      <c r="A14" s="21"/>
      <c r="B14" s="23"/>
      <c r="C14" s="23"/>
      <c r="D14" s="23"/>
      <c r="E14" s="23"/>
    </row>
    <row r="15" customFormat="false" ht="22.5" hidden="false" customHeight="true" outlineLevel="0" collapsed="false">
      <c r="A15" s="35"/>
      <c r="B15" s="37"/>
      <c r="C15" s="37"/>
      <c r="D15" s="37"/>
      <c r="E15" s="37"/>
    </row>
    <row r="16" customFormat="false" ht="22.5" hidden="false" customHeight="true" outlineLevel="0" collapsed="false">
      <c r="A16" s="21"/>
      <c r="B16" s="23"/>
      <c r="C16" s="23"/>
      <c r="D16" s="23"/>
      <c r="E16" s="23"/>
    </row>
    <row r="17" customFormat="false" ht="22.5" hidden="false" customHeight="true" outlineLevel="0" collapsed="false">
      <c r="A17" s="35"/>
      <c r="B17" s="37"/>
      <c r="C17" s="37"/>
      <c r="D17" s="37"/>
      <c r="E17" s="37"/>
    </row>
    <row r="18" customFormat="false" ht="22.5" hidden="false" customHeight="true" outlineLevel="0" collapsed="false">
      <c r="A18" s="21"/>
      <c r="B18" s="23"/>
      <c r="C18" s="23"/>
      <c r="D18" s="23"/>
      <c r="E18" s="23"/>
    </row>
    <row r="19" customFormat="false" ht="22.5" hidden="false" customHeight="true" outlineLevel="0" collapsed="false">
      <c r="A19" s="35"/>
      <c r="B19" s="37"/>
      <c r="C19" s="37"/>
      <c r="D19" s="37"/>
      <c r="E19" s="37"/>
    </row>
    <row r="20" customFormat="false" ht="22.5" hidden="false" customHeight="true" outlineLevel="0" collapsed="false">
      <c r="A20" s="21"/>
      <c r="B20" s="23"/>
      <c r="C20" s="23"/>
      <c r="D20" s="23"/>
      <c r="E20" s="23"/>
    </row>
    <row r="21" customFormat="false" ht="22.5" hidden="false" customHeight="true" outlineLevel="0" collapsed="false">
      <c r="A21" s="35"/>
      <c r="B21" s="37"/>
      <c r="C21" s="37"/>
      <c r="D21" s="37"/>
      <c r="E21" s="37"/>
    </row>
    <row r="22" customFormat="false" ht="22.5" hidden="false" customHeight="true" outlineLevel="0" collapsed="false">
      <c r="A22" s="21"/>
      <c r="B22" s="23"/>
      <c r="C22" s="23"/>
      <c r="D22" s="23"/>
      <c r="E22" s="23"/>
    </row>
    <row r="23" customFormat="false" ht="22.5" hidden="false" customHeight="true" outlineLevel="0" collapsed="false">
      <c r="A23" s="35"/>
      <c r="B23" s="37"/>
      <c r="C23" s="37"/>
      <c r="D23" s="37"/>
      <c r="E23" s="37"/>
    </row>
    <row r="24" customFormat="false" ht="22.5" hidden="false" customHeight="true" outlineLevel="0" collapsed="false">
      <c r="A24" s="21"/>
      <c r="B24" s="23"/>
      <c r="C24" s="23"/>
      <c r="D24" s="23"/>
      <c r="E24" s="23"/>
    </row>
    <row r="25" customFormat="false" ht="22.5" hidden="false" customHeight="true" outlineLevel="0" collapsed="false">
      <c r="A25" s="35"/>
      <c r="B25" s="37"/>
      <c r="C25" s="37"/>
      <c r="D25" s="37"/>
      <c r="E25" s="37"/>
    </row>
    <row r="26" customFormat="false" ht="22.5" hidden="false" customHeight="true" outlineLevel="0" collapsed="false">
      <c r="A26" s="21"/>
      <c r="B26" s="23"/>
      <c r="C26" s="23"/>
      <c r="D26" s="23"/>
      <c r="E26" s="23"/>
    </row>
    <row r="27" customFormat="false" ht="22.5" hidden="false" customHeight="true" outlineLevel="0" collapsed="false">
      <c r="A27" s="35"/>
      <c r="B27" s="37"/>
      <c r="C27" s="37"/>
      <c r="D27" s="37"/>
      <c r="E27" s="37"/>
    </row>
    <row r="28" customFormat="false" ht="22.5" hidden="false" customHeight="true" outlineLevel="0" collapsed="false">
      <c r="A28" s="21"/>
      <c r="B28" s="23"/>
      <c r="C28" s="23"/>
      <c r="D28" s="23"/>
      <c r="E28" s="23"/>
    </row>
    <row r="29" customFormat="false" ht="22.5" hidden="false" customHeight="true" outlineLevel="0" collapsed="false">
      <c r="A29" s="35"/>
      <c r="B29" s="37"/>
      <c r="C29" s="37"/>
      <c r="D29" s="37"/>
      <c r="E29" s="37"/>
    </row>
    <row r="30" customFormat="false" ht="22.5" hidden="false" customHeight="true" outlineLevel="0" collapsed="false">
      <c r="A30" s="21"/>
      <c r="B30" s="23"/>
      <c r="C30" s="23"/>
      <c r="D30" s="23"/>
      <c r="E30" s="23"/>
    </row>
    <row r="31" customFormat="false" ht="22.5" hidden="false" customHeight="true" outlineLevel="0" collapsed="false">
      <c r="A31" s="35"/>
      <c r="B31" s="37"/>
      <c r="C31" s="37"/>
      <c r="D31" s="37"/>
      <c r="E31" s="37"/>
    </row>
    <row r="32" customFormat="false" ht="22.5" hidden="false" customHeight="true" outlineLevel="0" collapsed="false">
      <c r="A32" s="21"/>
      <c r="B32" s="23"/>
      <c r="C32" s="23"/>
      <c r="D32" s="23"/>
      <c r="E32" s="23"/>
    </row>
    <row r="33" customFormat="false" ht="22.5" hidden="false" customHeight="true" outlineLevel="0" collapsed="false">
      <c r="A33" s="35"/>
      <c r="B33" s="37"/>
      <c r="C33" s="37"/>
      <c r="D33" s="37"/>
      <c r="E33" s="37"/>
    </row>
    <row r="34" customFormat="false" ht="22.5" hidden="false" customHeight="true" outlineLevel="0" collapsed="false">
      <c r="A34" s="21"/>
      <c r="B34" s="23"/>
      <c r="C34" s="23"/>
      <c r="D34" s="23"/>
      <c r="E34" s="23"/>
    </row>
    <row r="35" customFormat="false" ht="22.5" hidden="false" customHeight="true" outlineLevel="0" collapsed="false">
      <c r="A35" s="35"/>
      <c r="B35" s="37"/>
      <c r="C35" s="37"/>
      <c r="D35" s="37"/>
      <c r="E35" s="37"/>
    </row>
    <row r="36" customFormat="false" ht="22.5" hidden="false" customHeight="true" outlineLevel="0" collapsed="false">
      <c r="A36" s="21"/>
      <c r="B36" s="23"/>
      <c r="C36" s="23"/>
      <c r="D36" s="23"/>
      <c r="E36" s="23"/>
    </row>
    <row r="37" customFormat="false" ht="22.5" hidden="false" customHeight="true" outlineLevel="0" collapsed="false">
      <c r="A37" s="35"/>
      <c r="B37" s="37"/>
      <c r="C37" s="37"/>
      <c r="D37" s="37"/>
      <c r="E37" s="37"/>
    </row>
    <row r="38" customFormat="false" ht="22.5" hidden="false" customHeight="true" outlineLevel="0" collapsed="false">
      <c r="A38" s="21"/>
      <c r="B38" s="23"/>
      <c r="C38" s="23"/>
      <c r="D38" s="23"/>
      <c r="E38" s="23"/>
    </row>
    <row r="39" customFormat="false" ht="22.5" hidden="false" customHeight="true" outlineLevel="0" collapsed="false">
      <c r="A39" s="35"/>
      <c r="B39" s="37"/>
      <c r="C39" s="37"/>
      <c r="D39" s="37"/>
      <c r="E39" s="37"/>
    </row>
    <row r="40" customFormat="false" ht="22.5" hidden="false" customHeight="true" outlineLevel="0" collapsed="false">
      <c r="A40" s="21"/>
      <c r="B40" s="23"/>
      <c r="C40" s="23"/>
      <c r="D40" s="23"/>
      <c r="E40" s="23"/>
    </row>
    <row r="41" customFormat="false" ht="22.5" hidden="false" customHeight="true" outlineLevel="0" collapsed="false">
      <c r="A41" s="35"/>
      <c r="B41" s="37"/>
      <c r="C41" s="37"/>
      <c r="D41" s="37"/>
      <c r="E41" s="37"/>
    </row>
    <row r="42" customFormat="false" ht="22.5" hidden="false" customHeight="true" outlineLevel="0" collapsed="false">
      <c r="A42" s="21"/>
      <c r="B42" s="23"/>
      <c r="C42" s="23"/>
      <c r="D42" s="23"/>
      <c r="E42" s="23"/>
    </row>
    <row r="43" customFormat="false" ht="22.5" hidden="false" customHeight="true" outlineLevel="0" collapsed="false">
      <c r="A43" s="35"/>
      <c r="B43" s="37"/>
      <c r="C43" s="37"/>
      <c r="D43" s="37"/>
      <c r="E43" s="37"/>
    </row>
    <row r="44" customFormat="false" ht="22.5" hidden="false" customHeight="true" outlineLevel="0" collapsed="false">
      <c r="A44" s="21"/>
      <c r="B44" s="23"/>
      <c r="C44" s="23"/>
      <c r="D44" s="23"/>
      <c r="E44" s="23"/>
    </row>
    <row r="45" customFormat="false" ht="22.5" hidden="false" customHeight="true" outlineLevel="0" collapsed="false">
      <c r="A45" s="35"/>
      <c r="B45" s="37"/>
      <c r="C45" s="37"/>
      <c r="D45" s="37"/>
      <c r="E45" s="37"/>
    </row>
    <row r="46" customFormat="false" ht="22.5" hidden="false" customHeight="true" outlineLevel="0" collapsed="false">
      <c r="A46" s="21"/>
      <c r="B46" s="23"/>
      <c r="C46" s="23"/>
      <c r="D46" s="23"/>
      <c r="E46" s="23"/>
    </row>
    <row r="47" customFormat="false" ht="22.5" hidden="false" customHeight="true" outlineLevel="0" collapsed="false">
      <c r="A47" s="35"/>
      <c r="B47" s="37"/>
      <c r="C47" s="37"/>
      <c r="D47" s="37"/>
      <c r="E47" s="37"/>
    </row>
    <row r="48" customFormat="false" ht="22.5" hidden="false" customHeight="true" outlineLevel="0" collapsed="false">
      <c r="A48" s="21"/>
      <c r="B48" s="23"/>
      <c r="C48" s="23"/>
      <c r="D48" s="23"/>
      <c r="E48" s="23"/>
    </row>
    <row r="49" customFormat="false" ht="22.5" hidden="false" customHeight="true" outlineLevel="0" collapsed="false">
      <c r="A49" s="35"/>
      <c r="B49" s="37"/>
      <c r="C49" s="37"/>
      <c r="D49" s="37"/>
      <c r="E49" s="37"/>
    </row>
    <row r="50" customFormat="false" ht="22.5" hidden="false" customHeight="true" outlineLevel="0" collapsed="false">
      <c r="A50" s="21"/>
      <c r="B50" s="23"/>
      <c r="C50" s="23"/>
      <c r="D50" s="23"/>
      <c r="E50" s="23"/>
    </row>
    <row r="51" customFormat="false" ht="22.5" hidden="false" customHeight="true" outlineLevel="0" collapsed="false">
      <c r="A51" s="35"/>
      <c r="B51" s="37"/>
      <c r="C51" s="37"/>
      <c r="D51" s="37"/>
      <c r="E51" s="37"/>
    </row>
    <row r="52" customFormat="false" ht="22.5" hidden="false" customHeight="true" outlineLevel="0" collapsed="false">
      <c r="A52" s="21"/>
      <c r="B52" s="23"/>
      <c r="C52" s="23"/>
      <c r="D52" s="23"/>
      <c r="E52" s="23"/>
    </row>
    <row r="53" customFormat="false" ht="22.5" hidden="false" customHeight="true" outlineLevel="0" collapsed="false">
      <c r="A53" s="35"/>
      <c r="B53" s="37"/>
      <c r="C53" s="37"/>
      <c r="D53" s="37"/>
      <c r="E53" s="37"/>
    </row>
    <row r="54" customFormat="false" ht="22.5" hidden="false" customHeight="true" outlineLevel="0" collapsed="false">
      <c r="A54" s="21"/>
      <c r="B54" s="23"/>
      <c r="C54" s="24"/>
      <c r="D54" s="24"/>
      <c r="E54" s="24"/>
    </row>
    <row r="55" customFormat="false" ht="22.5" hidden="false" customHeight="true" outlineLevel="0" collapsed="false">
      <c r="A55" s="35"/>
      <c r="B55" s="37"/>
      <c r="C55" s="37"/>
      <c r="D55" s="37"/>
      <c r="E55" s="37"/>
    </row>
    <row r="56" customFormat="false" ht="22.5" hidden="false" customHeight="true" outlineLevel="0" collapsed="false">
      <c r="A56" s="21"/>
      <c r="B56" s="23"/>
      <c r="C56" s="23"/>
      <c r="D56" s="23"/>
      <c r="E56" s="23"/>
    </row>
    <row r="57" customFormat="false" ht="22.5" hidden="false" customHeight="true" outlineLevel="0" collapsed="false">
      <c r="A57" s="35"/>
      <c r="B57" s="37"/>
      <c r="C57" s="37"/>
      <c r="D57" s="37"/>
      <c r="E57" s="37"/>
    </row>
    <row r="58" customFormat="false" ht="22.5" hidden="false" customHeight="true" outlineLevel="0" collapsed="false">
      <c r="A58" s="21"/>
      <c r="B58" s="23"/>
      <c r="C58" s="23"/>
      <c r="D58" s="23"/>
      <c r="E58" s="23"/>
    </row>
    <row r="59" customFormat="false" ht="22.5" hidden="false" customHeight="true" outlineLevel="0" collapsed="false">
      <c r="A59" s="35"/>
      <c r="B59" s="37"/>
      <c r="C59" s="37"/>
      <c r="D59" s="37"/>
      <c r="E59" s="37"/>
    </row>
    <row r="60" customFormat="false" ht="22.5" hidden="false" customHeight="true" outlineLevel="0" collapsed="false">
      <c r="A60" s="21"/>
      <c r="B60" s="23"/>
      <c r="C60" s="23"/>
      <c r="D60" s="23"/>
      <c r="E60" s="23"/>
    </row>
    <row r="61" customFormat="false" ht="22.5" hidden="false" customHeight="true" outlineLevel="0" collapsed="false">
      <c r="A61" s="35"/>
      <c r="B61" s="37"/>
      <c r="C61" s="37"/>
      <c r="D61" s="37"/>
      <c r="E61" s="37"/>
    </row>
    <row r="62" customFormat="false" ht="22.5" hidden="false" customHeight="true" outlineLevel="0" collapsed="false">
      <c r="A62" s="21"/>
      <c r="B62" s="23"/>
      <c r="C62" s="23"/>
      <c r="D62" s="23"/>
      <c r="E62" s="23"/>
    </row>
    <row r="63" customFormat="false" ht="22.5" hidden="false" customHeight="true" outlineLevel="0" collapsed="false">
      <c r="A63" s="35"/>
      <c r="B63" s="37"/>
      <c r="C63" s="37"/>
      <c r="D63" s="37"/>
      <c r="E63" s="37"/>
    </row>
    <row r="64" customFormat="false" ht="22.5" hidden="false" customHeight="true" outlineLevel="0" collapsed="false">
      <c r="A64" s="21"/>
      <c r="B64" s="23"/>
      <c r="C64" s="23"/>
      <c r="D64" s="23"/>
      <c r="E64" s="23"/>
    </row>
    <row r="65" customFormat="false" ht="22.5" hidden="false" customHeight="true" outlineLevel="0" collapsed="false">
      <c r="A65" s="35"/>
      <c r="B65" s="37"/>
      <c r="C65" s="37"/>
      <c r="D65" s="37"/>
      <c r="E65" s="37"/>
    </row>
    <row r="66" customFormat="false" ht="22.5" hidden="false" customHeight="true" outlineLevel="0" collapsed="false">
      <c r="A66" s="21"/>
      <c r="B66" s="23"/>
      <c r="C66" s="23"/>
      <c r="D66" s="23"/>
      <c r="E66" s="23"/>
    </row>
    <row r="67" customFormat="false" ht="22.5" hidden="false" customHeight="true" outlineLevel="0" collapsed="false">
      <c r="A67" s="35"/>
      <c r="B67" s="37"/>
      <c r="C67" s="37"/>
      <c r="D67" s="37"/>
      <c r="E67" s="37"/>
    </row>
    <row r="68" customFormat="false" ht="22.5" hidden="false" customHeight="true" outlineLevel="0" collapsed="false">
      <c r="A68" s="21"/>
      <c r="B68" s="23"/>
      <c r="C68" s="23"/>
      <c r="D68" s="23"/>
      <c r="E68" s="23"/>
    </row>
    <row r="69" customFormat="false" ht="22.5" hidden="false" customHeight="true" outlineLevel="0" collapsed="false">
      <c r="A69" s="35"/>
      <c r="B69" s="37"/>
      <c r="C69" s="38"/>
      <c r="D69" s="38"/>
      <c r="E69" s="38"/>
    </row>
    <row r="70" customFormat="false" ht="22.5" hidden="false" customHeight="true" outlineLevel="0" collapsed="false">
      <c r="A70" s="21"/>
      <c r="B70" s="23"/>
      <c r="C70" s="23"/>
      <c r="D70" s="23"/>
      <c r="E70" s="23"/>
    </row>
    <row r="71" customFormat="false" ht="22.5" hidden="false" customHeight="true" outlineLevel="0" collapsed="false">
      <c r="A71" s="35"/>
      <c r="B71" s="37"/>
      <c r="C71" s="37"/>
      <c r="D71" s="37"/>
      <c r="E71" s="37"/>
    </row>
    <row r="72" customFormat="false" ht="22.5" hidden="false" customHeight="true" outlineLevel="0" collapsed="false">
      <c r="A72" s="21"/>
      <c r="B72" s="23"/>
      <c r="C72" s="23"/>
      <c r="D72" s="23"/>
      <c r="E72" s="23"/>
    </row>
    <row r="73" customFormat="false" ht="22.5" hidden="false" customHeight="true" outlineLevel="0" collapsed="false">
      <c r="A73" s="35"/>
      <c r="B73" s="37"/>
      <c r="C73" s="37"/>
      <c r="D73" s="37"/>
      <c r="E73" s="37"/>
    </row>
    <row r="74" customFormat="false" ht="22.5" hidden="false" customHeight="true" outlineLevel="0" collapsed="false">
      <c r="A74" s="21"/>
      <c r="B74" s="23"/>
      <c r="C74" s="23"/>
      <c r="D74" s="23"/>
      <c r="E74" s="23"/>
    </row>
    <row r="75" customFormat="false" ht="22.5" hidden="false" customHeight="true" outlineLevel="0" collapsed="false">
      <c r="A75" s="35"/>
      <c r="B75" s="37"/>
      <c r="C75" s="37"/>
      <c r="D75" s="37"/>
      <c r="E75" s="37"/>
    </row>
    <row r="76" customFormat="false" ht="22.5" hidden="false" customHeight="true" outlineLevel="0" collapsed="false">
      <c r="A76" s="21"/>
      <c r="B76" s="23"/>
      <c r="C76" s="23"/>
      <c r="D76" s="23"/>
      <c r="E76" s="23"/>
    </row>
    <row r="77" customFormat="false" ht="22.5" hidden="false" customHeight="true" outlineLevel="0" collapsed="false">
      <c r="A77" s="35"/>
      <c r="B77" s="37"/>
      <c r="C77" s="38"/>
      <c r="D77" s="38"/>
      <c r="E77" s="38"/>
    </row>
    <row r="78" customFormat="false" ht="22.5" hidden="false" customHeight="true" outlineLevel="0" collapsed="false">
      <c r="A78" s="21"/>
      <c r="B78" s="23"/>
      <c r="C78" s="23"/>
      <c r="D78" s="23"/>
      <c r="E78" s="23"/>
    </row>
    <row r="79" customFormat="false" ht="22.5" hidden="false" customHeight="true" outlineLevel="0" collapsed="false">
      <c r="A79" s="35"/>
      <c r="B79" s="37"/>
      <c r="C79" s="37"/>
      <c r="D79" s="37"/>
      <c r="E79" s="37"/>
    </row>
    <row r="80" customFormat="false" ht="22.5" hidden="false" customHeight="true" outlineLevel="0" collapsed="false">
      <c r="A80" s="47"/>
      <c r="B80" s="23"/>
      <c r="C80" s="23"/>
      <c r="D80" s="23"/>
      <c r="E80" s="23"/>
    </row>
    <row r="81" customFormat="false" ht="22.5" hidden="false" customHeight="true" outlineLevel="0" collapsed="false">
      <c r="A81" s="35"/>
      <c r="B81" s="37"/>
      <c r="C81" s="38"/>
      <c r="D81" s="38"/>
      <c r="E81" s="38"/>
    </row>
    <row r="82" customFormat="false" ht="22.5" hidden="false" customHeight="true" outlineLevel="0" collapsed="false">
      <c r="A82" s="78"/>
      <c r="B82" s="79"/>
      <c r="C82" s="80"/>
      <c r="D82" s="80"/>
      <c r="E82" s="80"/>
    </row>
    <row r="83" customFormat="false" ht="22.5" hidden="false" customHeight="true" outlineLevel="0" collapsed="false">
      <c r="A83" s="78"/>
      <c r="B83" s="90"/>
      <c r="C83" s="80"/>
      <c r="D83" s="80"/>
      <c r="E83" s="80"/>
    </row>
    <row r="84" customFormat="false" ht="22.5" hidden="false" customHeight="true" outlineLevel="0" collapsed="false">
      <c r="A84" s="47"/>
      <c r="B84" s="94"/>
      <c r="C84" s="23"/>
      <c r="D84" s="23"/>
      <c r="E84" s="23"/>
    </row>
    <row r="85" customFormat="false" ht="22.5" hidden="false" customHeight="true" outlineLevel="0" collapsed="false">
      <c r="A85" s="52"/>
      <c r="B85" s="96"/>
      <c r="C85" s="37"/>
      <c r="D85" s="37"/>
      <c r="E85" s="37"/>
    </row>
    <row r="86" customFormat="false" ht="22.5" hidden="false" customHeight="true" outlineLevel="0" collapsed="false">
      <c r="A86" s="21"/>
      <c r="B86" s="94"/>
      <c r="C86" s="23"/>
      <c r="D86" s="23"/>
      <c r="E86" s="23"/>
    </row>
    <row r="87" customFormat="false" ht="22.5" hidden="false" customHeight="true" outlineLevel="0" collapsed="false">
      <c r="A87" s="35"/>
      <c r="B87" s="96"/>
      <c r="C87" s="37"/>
      <c r="D87" s="37"/>
      <c r="E87" s="37"/>
    </row>
    <row r="88" customFormat="false" ht="22.5" hidden="false" customHeight="true" outlineLevel="0" collapsed="false">
      <c r="A88" s="21"/>
      <c r="B88" s="94"/>
      <c r="C88" s="23"/>
      <c r="D88" s="23"/>
      <c r="E88" s="23"/>
    </row>
    <row r="89" customFormat="false" ht="22.5" hidden="false" customHeight="true" outlineLevel="0" collapsed="false">
      <c r="A89" s="99"/>
      <c r="B89" s="90"/>
      <c r="C89" s="80"/>
      <c r="D89" s="80"/>
      <c r="E89" s="80"/>
    </row>
    <row r="90" customFormat="false" ht="22.5" hidden="false" customHeight="true" outlineLevel="0" collapsed="false">
      <c r="A90" s="78"/>
      <c r="B90" s="90"/>
      <c r="C90" s="80"/>
      <c r="D90" s="80"/>
      <c r="E90" s="80"/>
    </row>
    <row r="91" customFormat="false" ht="22.5" hidden="false" customHeight="true" outlineLevel="0" collapsed="false">
      <c r="A91" s="101"/>
      <c r="B91" s="102"/>
      <c r="C91" s="38"/>
      <c r="D91" s="38"/>
      <c r="E91" s="38"/>
    </row>
    <row r="92" customFormat="false" ht="22.5" hidden="false" customHeight="true" outlineLevel="0" collapsed="false">
      <c r="A92" s="105"/>
      <c r="B92" s="94"/>
      <c r="C92" s="23"/>
      <c r="D92" s="23"/>
      <c r="E92" s="23"/>
    </row>
    <row r="93" customFormat="false" ht="22.5" hidden="false" customHeight="true" outlineLevel="0" collapsed="false">
      <c r="A93" s="105"/>
      <c r="B93" s="96"/>
      <c r="C93" s="37"/>
      <c r="D93" s="37"/>
      <c r="E93" s="37"/>
    </row>
    <row r="94" customFormat="false" ht="22.5" hidden="false" customHeight="true" outlineLevel="0" collapsed="false">
      <c r="A94" s="101"/>
      <c r="B94" s="110"/>
      <c r="C94" s="24"/>
      <c r="D94" s="24"/>
      <c r="E94" s="24"/>
    </row>
    <row r="95" customFormat="false" ht="22.5" hidden="false" customHeight="true" outlineLevel="0" collapsed="false">
      <c r="A95" s="101"/>
      <c r="B95" s="102"/>
      <c r="C95" s="38"/>
      <c r="D95" s="38"/>
      <c r="E95" s="38"/>
    </row>
    <row r="96" customFormat="false" ht="22.5" hidden="false" customHeight="true" outlineLevel="0" collapsed="false">
      <c r="A96" s="105"/>
      <c r="B96" s="94"/>
      <c r="C96" s="23"/>
      <c r="D96" s="23"/>
      <c r="E96" s="23"/>
    </row>
    <row r="97" customFormat="false" ht="22.5" hidden="false" customHeight="true" outlineLevel="0" collapsed="false">
      <c r="A97" s="105"/>
      <c r="B97" s="96"/>
      <c r="C97" s="37"/>
      <c r="D97" s="37"/>
      <c r="E97" s="37"/>
    </row>
    <row r="98" customFormat="false" ht="22.5" hidden="false" customHeight="true" outlineLevel="0" collapsed="false">
      <c r="A98" s="105"/>
      <c r="B98" s="94"/>
      <c r="C98" s="23"/>
      <c r="D98" s="23"/>
      <c r="E98" s="23"/>
    </row>
    <row r="99" customFormat="false" ht="22.5" hidden="false" customHeight="true" outlineLevel="0" collapsed="false">
      <c r="A99" s="105"/>
      <c r="B99" s="96"/>
      <c r="C99" s="37"/>
      <c r="D99" s="37"/>
      <c r="E99" s="37"/>
    </row>
    <row r="100" customFormat="false" ht="22.5" hidden="false" customHeight="true" outlineLevel="0" collapsed="false">
      <c r="A100" s="105"/>
      <c r="B100" s="94"/>
      <c r="C100" s="23"/>
      <c r="D100" s="23"/>
      <c r="E100" s="23"/>
    </row>
    <row r="101" customFormat="false" ht="22.5" hidden="false" customHeight="true" outlineLevel="0" collapsed="false">
      <c r="A101" s="105"/>
      <c r="B101" s="96"/>
      <c r="C101" s="37"/>
      <c r="D101" s="37"/>
      <c r="E101" s="37"/>
    </row>
    <row r="102" customFormat="false" ht="22.5" hidden="false" customHeight="true" outlineLevel="0" collapsed="false">
      <c r="A102" s="113"/>
      <c r="B102" s="94"/>
      <c r="C102" s="23"/>
      <c r="D102" s="23"/>
      <c r="E102" s="23"/>
    </row>
    <row r="103" customFormat="false" ht="22.5" hidden="false" customHeight="true" outlineLevel="0" collapsed="false">
      <c r="A103" s="105"/>
      <c r="B103" s="96"/>
      <c r="C103" s="37"/>
      <c r="D103" s="37"/>
      <c r="E103" s="37"/>
    </row>
    <row r="104" customFormat="false" ht="22.5" hidden="false" customHeight="true" outlineLevel="0" collapsed="false">
      <c r="A104" s="113"/>
      <c r="B104" s="94"/>
      <c r="C104" s="23"/>
      <c r="D104" s="23"/>
      <c r="E104" s="23"/>
    </row>
    <row r="105" customFormat="false" ht="22.5" hidden="false" customHeight="true" outlineLevel="0" collapsed="false">
      <c r="A105" s="105"/>
      <c r="B105" s="96"/>
      <c r="C105" s="37"/>
      <c r="D105" s="37"/>
      <c r="E105" s="37"/>
    </row>
    <row r="106" customFormat="false" ht="22.5" hidden="false" customHeight="true" outlineLevel="0" collapsed="false">
      <c r="A106" s="113"/>
      <c r="B106" s="94"/>
      <c r="C106" s="23"/>
      <c r="D106" s="23"/>
      <c r="E106" s="23"/>
    </row>
    <row r="107" customFormat="false" ht="22.5" hidden="false" customHeight="true" outlineLevel="0" collapsed="false">
      <c r="A107" s="105"/>
      <c r="B107" s="96"/>
      <c r="C107" s="37"/>
      <c r="D107" s="37"/>
      <c r="E107" s="37"/>
    </row>
    <row r="108" customFormat="false" ht="22.5" hidden="false" customHeight="true" outlineLevel="0" collapsed="false">
      <c r="A108" s="113"/>
      <c r="B108" s="94"/>
      <c r="C108" s="23"/>
      <c r="D108" s="23"/>
      <c r="E108" s="23"/>
    </row>
    <row r="109" customFormat="false" ht="22.5" hidden="false" customHeight="true" outlineLevel="0" collapsed="false">
      <c r="A109" s="113"/>
      <c r="B109" s="96"/>
      <c r="C109" s="37"/>
      <c r="D109" s="37"/>
      <c r="E109" s="37"/>
    </row>
    <row r="110" customFormat="false" ht="22.5" hidden="false" customHeight="true" outlineLevel="0" collapsed="false">
      <c r="A110" s="113"/>
      <c r="B110" s="94"/>
      <c r="C110" s="23"/>
      <c r="D110" s="23"/>
      <c r="E110" s="23"/>
    </row>
    <row r="111" customFormat="false" ht="22.5" hidden="false" customHeight="true" outlineLevel="0" collapsed="false">
      <c r="A111" s="113"/>
      <c r="B111" s="96"/>
      <c r="C111" s="37"/>
      <c r="D111" s="37"/>
      <c r="E111" s="37"/>
    </row>
    <row r="112" customFormat="false" ht="22.5" hidden="false" customHeight="true" outlineLevel="0" collapsed="false">
      <c r="A112" s="113"/>
      <c r="B112" s="94"/>
      <c r="C112" s="23"/>
      <c r="D112" s="23"/>
      <c r="E112" s="23"/>
    </row>
    <row r="113" customFormat="false" ht="22.5" hidden="false" customHeight="true" outlineLevel="0" collapsed="false">
      <c r="A113" s="113"/>
      <c r="B113" s="96"/>
      <c r="C113" s="37"/>
      <c r="D113" s="37"/>
      <c r="E113" s="37"/>
    </row>
    <row r="114" customFormat="false" ht="22.5" hidden="false" customHeight="true" outlineLevel="0" collapsed="false">
      <c r="A114" s="113"/>
      <c r="B114" s="94"/>
      <c r="C114" s="23"/>
      <c r="D114" s="23"/>
      <c r="E114" s="23"/>
    </row>
    <row r="115" customFormat="false" ht="22.5" hidden="false" customHeight="true" outlineLevel="0" collapsed="false">
      <c r="A115" s="113"/>
      <c r="B115" s="96"/>
      <c r="C115" s="37"/>
      <c r="D115" s="37"/>
      <c r="E115" s="37"/>
    </row>
    <row r="116" customFormat="false" ht="22.5" hidden="false" customHeight="true" outlineLevel="0" collapsed="false">
      <c r="A116" s="113"/>
      <c r="B116" s="94"/>
      <c r="C116" s="23"/>
      <c r="D116" s="23"/>
      <c r="E116" s="23"/>
    </row>
    <row r="117" customFormat="false" ht="22.5" hidden="false" customHeight="true" outlineLevel="0" collapsed="false">
      <c r="A117" s="105"/>
      <c r="B117" s="96"/>
      <c r="C117" s="37"/>
      <c r="D117" s="37"/>
      <c r="E117" s="37"/>
    </row>
    <row r="118" customFormat="false" ht="22.5" hidden="false" customHeight="true" outlineLevel="0" collapsed="false">
      <c r="A118" s="113"/>
      <c r="B118" s="94"/>
      <c r="C118" s="23"/>
      <c r="D118" s="23"/>
      <c r="E118" s="23"/>
    </row>
    <row r="119" customFormat="false" ht="22.5" hidden="false" customHeight="true" outlineLevel="0" collapsed="false">
      <c r="A119" s="105"/>
      <c r="B119" s="96"/>
      <c r="C119" s="37"/>
      <c r="D119" s="37"/>
      <c r="E119" s="37"/>
    </row>
    <row r="120" customFormat="false" ht="22.5" hidden="false" customHeight="true" outlineLevel="0" collapsed="false">
      <c r="A120" s="116"/>
      <c r="B120" s="90"/>
      <c r="C120" s="80"/>
      <c r="D120" s="80"/>
      <c r="E120" s="80"/>
    </row>
    <row r="121" customFormat="false" ht="22.5" hidden="false" customHeight="true" outlineLevel="0" collapsed="false">
      <c r="A121" s="52"/>
      <c r="B121" s="96"/>
      <c r="C121" s="37"/>
      <c r="D121" s="37"/>
      <c r="E121" s="37"/>
    </row>
    <row r="122" customFormat="false" ht="22.5" hidden="false" customHeight="true" outlineLevel="0" collapsed="false">
      <c r="A122" s="47"/>
      <c r="B122" s="94"/>
      <c r="C122" s="23"/>
      <c r="D122" s="23"/>
      <c r="E122" s="23"/>
    </row>
    <row r="123" customFormat="false" ht="22.5" hidden="false" customHeight="true" outlineLevel="0" collapsed="false">
      <c r="A123" s="116"/>
      <c r="B123" s="90"/>
      <c r="C123" s="80"/>
      <c r="D123" s="80"/>
      <c r="E123" s="80"/>
    </row>
    <row r="124" customFormat="false" ht="22.5" hidden="false" customHeight="true" outlineLevel="0" collapsed="false">
      <c r="A124" s="116"/>
      <c r="B124" s="90"/>
      <c r="C124" s="80"/>
      <c r="D124" s="80"/>
      <c r="E124" s="80"/>
    </row>
    <row r="125" customFormat="false" ht="22.5" hidden="false" customHeight="true" outlineLevel="0" collapsed="false">
      <c r="A125" s="105"/>
      <c r="B125" s="96"/>
      <c r="C125" s="37"/>
      <c r="D125" s="37"/>
      <c r="E125" s="37"/>
    </row>
    <row r="126" customFormat="false" ht="22.5" hidden="false" customHeight="true" outlineLevel="0" collapsed="false">
      <c r="A126" s="113"/>
      <c r="B126" s="94"/>
      <c r="C126" s="23"/>
      <c r="D126" s="23"/>
      <c r="E126" s="23"/>
    </row>
    <row r="127" customFormat="false" ht="22.5" hidden="false" customHeight="true" outlineLevel="0" collapsed="false">
      <c r="A127" s="116"/>
      <c r="B127" s="90"/>
      <c r="C127" s="80"/>
      <c r="D127" s="80"/>
      <c r="E127" s="80"/>
    </row>
    <row r="128" customFormat="false" ht="22.5" hidden="false" customHeight="true" outlineLevel="0" collapsed="false">
      <c r="A128" s="113"/>
      <c r="B128" s="94"/>
      <c r="C128" s="23"/>
      <c r="D128" s="23"/>
      <c r="E128" s="23"/>
    </row>
    <row r="129" customFormat="false" ht="22.5" hidden="false" customHeight="true" outlineLevel="0" collapsed="false">
      <c r="A129" s="101"/>
      <c r="B129" s="102"/>
      <c r="C129" s="38"/>
      <c r="D129" s="38"/>
      <c r="E129" s="38"/>
    </row>
    <row r="130" customFormat="false" ht="22.5" hidden="false" customHeight="true" outlineLevel="0" collapsed="false">
      <c r="A130" s="101"/>
      <c r="B130" s="110"/>
      <c r="C130" s="24"/>
      <c r="D130" s="24"/>
      <c r="E130" s="24"/>
    </row>
    <row r="131" customFormat="false" ht="22.5" hidden="false" customHeight="true" outlineLevel="0" collapsed="false">
      <c r="A131" s="101"/>
      <c r="B131" s="102"/>
      <c r="C131" s="38"/>
      <c r="D131" s="38"/>
      <c r="E131" s="38"/>
    </row>
    <row r="132" customFormat="false" ht="22.5" hidden="false" customHeight="true" outlineLevel="0" collapsed="false">
      <c r="A132" s="101"/>
      <c r="B132" s="110"/>
      <c r="C132" s="24"/>
      <c r="D132" s="24"/>
      <c r="E132" s="24"/>
    </row>
    <row r="133" customFormat="false" ht="22.5" hidden="false" customHeight="true" outlineLevel="0" collapsed="false">
      <c r="A133" s="101"/>
      <c r="B133" s="102"/>
      <c r="C133" s="38"/>
      <c r="D133" s="38"/>
      <c r="E133" s="38"/>
    </row>
    <row r="134" customFormat="false" ht="22.5" hidden="false" customHeight="true" outlineLevel="0" collapsed="false">
      <c r="A134" s="113"/>
      <c r="B134" s="94"/>
      <c r="C134" s="23"/>
      <c r="D134" s="23"/>
      <c r="E134" s="23"/>
    </row>
    <row r="135" customFormat="false" ht="22.5" hidden="false" customHeight="true" outlineLevel="0" collapsed="false">
      <c r="A135" s="113"/>
      <c r="B135" s="94"/>
      <c r="C135" s="23"/>
      <c r="D135" s="23"/>
      <c r="E135" s="23"/>
    </row>
    <row r="136" customFormat="false" ht="22.5" hidden="false" customHeight="true" outlineLevel="0" collapsed="false">
      <c r="A136" s="101"/>
      <c r="B136" s="102"/>
      <c r="C136" s="38"/>
      <c r="D136" s="38"/>
      <c r="E136" s="38"/>
    </row>
    <row r="137" customFormat="false" ht="22.5" hidden="false" customHeight="true" outlineLevel="0" collapsed="false">
      <c r="A137" s="113"/>
      <c r="B137" s="94"/>
      <c r="C137" s="23"/>
      <c r="D137" s="23"/>
      <c r="E137" s="23"/>
    </row>
    <row r="138" customFormat="false" ht="22.5" hidden="false" customHeight="true" outlineLevel="0" collapsed="false">
      <c r="A138" s="105"/>
      <c r="B138" s="96"/>
      <c r="C138" s="37"/>
      <c r="D138" s="37"/>
      <c r="E138" s="37"/>
    </row>
    <row r="139" customFormat="false" ht="22.5" hidden="false" customHeight="true" outlineLevel="0" collapsed="false">
      <c r="A139" s="120"/>
      <c r="B139" s="110"/>
      <c r="C139" s="24"/>
      <c r="D139" s="24"/>
      <c r="E139" s="24"/>
    </row>
    <row r="140" customFormat="false" ht="22.5" hidden="false" customHeight="true" outlineLevel="0" collapsed="false">
      <c r="A140" s="105"/>
      <c r="B140" s="96"/>
      <c r="C140" s="37"/>
      <c r="D140" s="37"/>
      <c r="E140" s="37"/>
    </row>
    <row r="141" customFormat="false" ht="22.5" hidden="false" customHeight="true" outlineLevel="0" collapsed="false">
      <c r="A141" s="113"/>
      <c r="B141" s="94"/>
      <c r="C141" s="23"/>
      <c r="D141" s="23"/>
      <c r="E141" s="23"/>
    </row>
    <row r="142" customFormat="false" ht="22.5" hidden="false" customHeight="true" outlineLevel="0" collapsed="false">
      <c r="A142" s="101"/>
      <c r="B142" s="102"/>
      <c r="C142" s="38"/>
      <c r="D142" s="38"/>
      <c r="E142" s="38"/>
    </row>
    <row r="143" customFormat="false" ht="22.5" hidden="false" customHeight="true" outlineLevel="0" collapsed="false">
      <c r="A143" s="116"/>
      <c r="B143" s="90"/>
      <c r="C143" s="80"/>
      <c r="D143" s="80"/>
      <c r="E143" s="80"/>
    </row>
    <row r="144" customFormat="false" ht="22.5" hidden="false" customHeight="true" outlineLevel="0" collapsed="false">
      <c r="A144" s="113"/>
      <c r="B144" s="94"/>
      <c r="C144" s="23"/>
      <c r="D144" s="23"/>
      <c r="E144" s="23"/>
    </row>
    <row r="145" customFormat="false" ht="22.5" hidden="false" customHeight="true" outlineLevel="0" collapsed="false">
      <c r="A145" s="52"/>
      <c r="B145" s="96"/>
      <c r="C145" s="37"/>
      <c r="D145" s="37"/>
      <c r="E145" s="37"/>
    </row>
    <row r="146" customFormat="false" ht="22.5" hidden="false" customHeight="true" outlineLevel="0" collapsed="false">
      <c r="A146" s="113"/>
      <c r="B146" s="94"/>
      <c r="C146" s="23"/>
      <c r="D146" s="23"/>
      <c r="E146" s="23"/>
    </row>
    <row r="147" customFormat="false" ht="22.5" hidden="false" customHeight="true" outlineLevel="0" collapsed="false">
      <c r="A147" s="113"/>
      <c r="B147" s="96"/>
      <c r="C147" s="37"/>
      <c r="D147" s="37"/>
      <c r="E147" s="37"/>
    </row>
    <row r="148" customFormat="false" ht="22.5" hidden="false" customHeight="true" outlineLevel="0" collapsed="false">
      <c r="A148" s="113"/>
      <c r="B148" s="94"/>
      <c r="C148" s="23"/>
      <c r="D148" s="23"/>
      <c r="E148" s="23"/>
    </row>
    <row r="149" customFormat="false" ht="22.5" hidden="false" customHeight="true" outlineLevel="0" collapsed="false">
      <c r="A149" s="113"/>
      <c r="B149" s="96"/>
      <c r="C149" s="37"/>
      <c r="D149" s="37"/>
      <c r="E149" s="37"/>
    </row>
    <row r="150" customFormat="false" ht="22.5" hidden="false" customHeight="true" outlineLevel="0" collapsed="false">
      <c r="A150" s="113"/>
      <c r="B150" s="94"/>
      <c r="C150" s="23"/>
      <c r="D150" s="23"/>
      <c r="E150" s="23"/>
    </row>
    <row r="151" customFormat="false" ht="22.5" hidden="false" customHeight="true" outlineLevel="0" collapsed="false">
      <c r="A151" s="113"/>
      <c r="B151" s="96"/>
      <c r="C151" s="37"/>
      <c r="D151" s="37"/>
      <c r="E151" s="37"/>
    </row>
    <row r="152" customFormat="false" ht="22.5" hidden="false" customHeight="true" outlineLevel="0" collapsed="false">
      <c r="A152" s="113"/>
      <c r="B152" s="94"/>
      <c r="C152" s="23"/>
      <c r="D152" s="23"/>
      <c r="E152" s="23"/>
    </row>
    <row r="153" customFormat="false" ht="22.5" hidden="false" customHeight="true" outlineLevel="0" collapsed="false">
      <c r="A153" s="113"/>
      <c r="B153" s="96"/>
      <c r="C153" s="37"/>
      <c r="D153" s="37"/>
      <c r="E153" s="37"/>
    </row>
    <row r="154" customFormat="false" ht="22.5" hidden="false" customHeight="true" outlineLevel="0" collapsed="false">
      <c r="A154" s="21"/>
      <c r="B154" s="94"/>
      <c r="C154" s="23"/>
      <c r="D154" s="23"/>
      <c r="E154" s="23"/>
    </row>
    <row r="155" customFormat="false" ht="22.5" hidden="false" customHeight="true" outlineLevel="0" collapsed="false">
      <c r="A155" s="105"/>
      <c r="B155" s="96"/>
      <c r="C155" s="37"/>
      <c r="D155" s="37"/>
      <c r="E155" s="37"/>
    </row>
    <row r="156" customFormat="false" ht="22.5" hidden="false" customHeight="true" outlineLevel="0" collapsed="false">
      <c r="A156" s="101"/>
      <c r="B156" s="110"/>
      <c r="C156" s="24"/>
      <c r="D156" s="24"/>
      <c r="E156" s="24"/>
    </row>
    <row r="157" customFormat="false" ht="22.5" hidden="false" customHeight="true" outlineLevel="0" collapsed="false">
      <c r="A157" s="105"/>
      <c r="B157" s="96"/>
      <c r="C157" s="37"/>
      <c r="D157" s="37"/>
      <c r="E157" s="37"/>
    </row>
    <row r="158" customFormat="false" ht="22.5" hidden="false" customHeight="true" outlineLevel="0" collapsed="false">
      <c r="A158" s="105"/>
      <c r="B158" s="94"/>
      <c r="C158" s="23"/>
      <c r="D158" s="23"/>
      <c r="E158" s="23"/>
    </row>
    <row r="159" customFormat="false" ht="22.5" hidden="false" customHeight="true" outlineLevel="0" collapsed="false">
      <c r="A159" s="116"/>
      <c r="B159" s="90"/>
      <c r="C159" s="80"/>
      <c r="D159" s="80"/>
      <c r="E159" s="80"/>
    </row>
    <row r="160" customFormat="false" ht="22.5" hidden="false" customHeight="true" outlineLevel="0" collapsed="false">
      <c r="A160" s="113"/>
      <c r="B160" s="94"/>
      <c r="C160" s="23"/>
      <c r="D160" s="23"/>
      <c r="E160" s="23"/>
    </row>
    <row r="161" customFormat="false" ht="22.5" hidden="false" customHeight="true" outlineLevel="0" collapsed="false">
      <c r="A161" s="120"/>
      <c r="B161" s="102"/>
      <c r="C161" s="38"/>
      <c r="D161" s="38"/>
      <c r="E161" s="38"/>
    </row>
    <row r="162" customFormat="false" ht="22.5" hidden="false" customHeight="true" outlineLevel="0" collapsed="false">
      <c r="A162" s="113"/>
      <c r="B162" s="94"/>
      <c r="C162" s="23"/>
      <c r="D162" s="23"/>
      <c r="E162" s="23"/>
    </row>
    <row r="163" customFormat="false" ht="22.5" hidden="false" customHeight="true" outlineLevel="0" collapsed="false">
      <c r="A163" s="113"/>
      <c r="B163" s="96"/>
      <c r="C163" s="37"/>
      <c r="D163" s="37"/>
      <c r="E163" s="37"/>
    </row>
    <row r="164" customFormat="false" ht="22.5" hidden="false" customHeight="true" outlineLevel="0" collapsed="false">
      <c r="A164" s="113"/>
      <c r="B164" s="94"/>
      <c r="C164" s="23"/>
      <c r="D164" s="23"/>
      <c r="E164" s="23"/>
    </row>
    <row r="165" customFormat="false" ht="22.5" hidden="false" customHeight="true" outlineLevel="0" collapsed="false">
      <c r="A165" s="123"/>
      <c r="B165" s="124"/>
      <c r="C165" s="124"/>
      <c r="D165" s="124"/>
      <c r="E165" s="124"/>
    </row>
    <row r="166" customFormat="false" ht="22.5" hidden="false" customHeight="true" outlineLevel="0" collapsed="false">
      <c r="A166" s="116"/>
      <c r="B166" s="133"/>
      <c r="C166" s="133"/>
      <c r="D166" s="133"/>
      <c r="E166" s="133"/>
    </row>
    <row r="167" customFormat="false" ht="22.5" hidden="false" customHeight="true" outlineLevel="0" collapsed="false">
      <c r="A167" s="123"/>
      <c r="B167" s="124"/>
      <c r="C167" s="124"/>
      <c r="D167" s="124"/>
      <c r="E167" s="124"/>
    </row>
    <row r="168" customFormat="false" ht="22.5" hidden="false" customHeight="true" outlineLevel="0" collapsed="false">
      <c r="A168" s="123"/>
      <c r="B168" s="124"/>
      <c r="C168" s="124"/>
      <c r="D168" s="124"/>
      <c r="E168" s="124"/>
    </row>
    <row r="169" customFormat="false" ht="22.5" hidden="false" customHeight="true" outlineLevel="0" collapsed="false">
      <c r="A169" s="137"/>
      <c r="B169" s="124"/>
      <c r="C169" s="124"/>
      <c r="D169" s="124"/>
      <c r="E169" s="124"/>
    </row>
    <row r="170" customFormat="false" ht="22.5" hidden="false" customHeight="true" outlineLevel="0" collapsed="false">
      <c r="A170" s="137"/>
      <c r="B170" s="143"/>
      <c r="C170" s="143"/>
      <c r="D170" s="23"/>
      <c r="E170" s="23"/>
    </row>
    <row r="171" customFormat="false" ht="22.5" hidden="false" customHeight="true" outlineLevel="0" collapsed="false">
      <c r="A171" s="137"/>
      <c r="B171" s="143"/>
      <c r="C171" s="143"/>
      <c r="D171" s="23"/>
      <c r="E171" s="23"/>
    </row>
    <row r="172" customFormat="false" ht="22.5" hidden="false" customHeight="true" outlineLevel="0" collapsed="false">
      <c r="A172" s="137"/>
      <c r="B172" s="146"/>
      <c r="C172" s="146"/>
      <c r="D172" s="288"/>
      <c r="E172" s="288"/>
    </row>
    <row r="173" customFormat="false" ht="22.5" hidden="false" customHeight="true" outlineLevel="0" collapsed="false">
      <c r="A173" s="137"/>
      <c r="B173" s="143"/>
      <c r="C173" s="143"/>
      <c r="D173" s="23"/>
      <c r="E173" s="23"/>
    </row>
    <row r="174" customFormat="false" ht="22.5" hidden="false" customHeight="true" outlineLevel="0" collapsed="false">
      <c r="A174" s="137"/>
      <c r="B174" s="143"/>
      <c r="C174" s="143"/>
      <c r="D174" s="23"/>
      <c r="E174" s="23"/>
    </row>
    <row r="175" customFormat="false" ht="22.5" hidden="false" customHeight="true" outlineLevel="0" collapsed="false">
      <c r="A175" s="137"/>
      <c r="B175" s="146"/>
      <c r="C175" s="146"/>
      <c r="D175" s="288"/>
      <c r="E175" s="288"/>
    </row>
    <row r="176" customFormat="false" ht="22.5" hidden="false" customHeight="true" outlineLevel="0" collapsed="false">
      <c r="A176" s="137"/>
      <c r="B176" s="143"/>
      <c r="C176" s="143"/>
      <c r="D176" s="23"/>
      <c r="E176" s="23"/>
    </row>
    <row r="177" customFormat="false" ht="22.5" hidden="false" customHeight="true" outlineLevel="0" collapsed="false">
      <c r="A177" s="137"/>
      <c r="B177" s="146"/>
      <c r="C177" s="146"/>
      <c r="D177" s="288"/>
      <c r="E177" s="288"/>
    </row>
    <row r="178" customFormat="false" ht="22.5" hidden="false" customHeight="true" outlineLevel="0" collapsed="false">
      <c r="A178" s="137"/>
      <c r="B178" s="149"/>
      <c r="C178" s="149"/>
      <c r="D178" s="172"/>
      <c r="E178" s="172"/>
    </row>
    <row r="179" customFormat="false" ht="22.5" hidden="false" customHeight="true" outlineLevel="0" collapsed="false">
      <c r="A179" s="137"/>
      <c r="B179" s="149"/>
      <c r="C179" s="149"/>
      <c r="D179" s="172"/>
      <c r="E179" s="172"/>
    </row>
    <row r="180" customFormat="false" ht="22.5" hidden="false" customHeight="true" outlineLevel="0" collapsed="false">
      <c r="A180" s="137"/>
      <c r="B180" s="150"/>
      <c r="C180" s="150"/>
      <c r="D180" s="289"/>
      <c r="E180" s="289"/>
    </row>
    <row r="181" customFormat="false" ht="22.5" hidden="false" customHeight="true" outlineLevel="0" collapsed="false">
      <c r="A181" s="137"/>
      <c r="B181" s="149"/>
      <c r="C181" s="149"/>
      <c r="D181" s="172"/>
      <c r="E181" s="172"/>
    </row>
    <row r="182" customFormat="false" ht="22.5" hidden="false" customHeight="true" outlineLevel="0" collapsed="false">
      <c r="A182" s="137"/>
      <c r="B182" s="150"/>
      <c r="C182" s="150"/>
      <c r="D182" s="289"/>
      <c r="E182" s="289"/>
    </row>
    <row r="183" customFormat="false" ht="22.5" hidden="false" customHeight="true" outlineLevel="0" collapsed="false">
      <c r="A183" s="137"/>
      <c r="B183" s="149"/>
      <c r="C183" s="149"/>
      <c r="D183" s="172"/>
      <c r="E183" s="172"/>
    </row>
    <row r="184" customFormat="false" ht="22.5" hidden="false" customHeight="true" outlineLevel="0" collapsed="false">
      <c r="A184" s="137"/>
      <c r="B184" s="150"/>
      <c r="C184" s="150"/>
      <c r="D184" s="289"/>
      <c r="E184" s="289"/>
    </row>
    <row r="185" customFormat="false" ht="22.5" hidden="false" customHeight="true" outlineLevel="0" collapsed="false">
      <c r="A185" s="137"/>
      <c r="B185" s="149"/>
      <c r="C185" s="149"/>
      <c r="D185" s="172"/>
      <c r="E185" s="172"/>
    </row>
    <row r="186" customFormat="false" ht="22.5" hidden="false" customHeight="true" outlineLevel="0" collapsed="false">
      <c r="A186" s="137"/>
      <c r="B186" s="150"/>
      <c r="C186" s="150"/>
      <c r="D186" s="289"/>
      <c r="E186" s="289"/>
    </row>
    <row r="187" customFormat="false" ht="22.5" hidden="false" customHeight="true" outlineLevel="0" collapsed="false">
      <c r="A187" s="137"/>
      <c r="B187" s="149"/>
      <c r="C187" s="149"/>
      <c r="D187" s="172"/>
      <c r="E187" s="172"/>
    </row>
    <row r="188" customFormat="false" ht="22.5" hidden="false" customHeight="true" outlineLevel="0" collapsed="false">
      <c r="A188" s="137"/>
      <c r="B188" s="149"/>
      <c r="C188" s="149"/>
      <c r="D188" s="172"/>
      <c r="E188" s="172"/>
    </row>
    <row r="189" customFormat="false" ht="22.5" hidden="false" customHeight="true" outlineLevel="0" collapsed="false">
      <c r="A189" s="290"/>
      <c r="B189" s="154"/>
      <c r="C189" s="154"/>
      <c r="D189" s="291"/>
      <c r="E189" s="291"/>
    </row>
    <row r="190" customFormat="false" ht="22.5" hidden="false" customHeight="true" outlineLevel="0" collapsed="false">
      <c r="A190" s="137"/>
      <c r="B190" s="149"/>
      <c r="C190" s="149"/>
      <c r="D190" s="172"/>
      <c r="E190" s="172"/>
    </row>
    <row r="191" customFormat="false" ht="22.5" hidden="false" customHeight="true" outlineLevel="0" collapsed="false">
      <c r="A191" s="120"/>
      <c r="B191" s="157"/>
      <c r="C191" s="157"/>
      <c r="D191" s="292"/>
      <c r="E191" s="292"/>
    </row>
    <row r="192" customFormat="false" ht="22.5" hidden="false" customHeight="true" outlineLevel="0" collapsed="false">
      <c r="A192" s="120"/>
      <c r="B192" s="157"/>
      <c r="C192" s="157"/>
      <c r="D192" s="292"/>
      <c r="E192" s="292"/>
    </row>
    <row r="193" customFormat="false" ht="22.5" hidden="false" customHeight="true" outlineLevel="0" collapsed="false">
      <c r="A193" s="137"/>
      <c r="B193" s="149"/>
      <c r="C193" s="149"/>
      <c r="D193" s="172"/>
      <c r="E193" s="172"/>
    </row>
    <row r="194" customFormat="false" ht="22.5" hidden="false" customHeight="true" outlineLevel="0" collapsed="false">
      <c r="A194" s="137"/>
      <c r="B194" s="149"/>
      <c r="C194" s="149"/>
      <c r="D194" s="172"/>
      <c r="E194" s="172"/>
    </row>
    <row r="195" customFormat="false" ht="22.5" hidden="false" customHeight="true" outlineLevel="0" collapsed="false">
      <c r="A195" s="137"/>
      <c r="B195" s="149"/>
      <c r="C195" s="149"/>
      <c r="D195" s="172"/>
      <c r="E195" s="172"/>
    </row>
    <row r="196" customFormat="false" ht="22.5" hidden="false" customHeight="true" outlineLevel="0" collapsed="false">
      <c r="A196" s="137"/>
      <c r="B196" s="149"/>
      <c r="C196" s="149"/>
      <c r="D196" s="172"/>
      <c r="E196" s="172"/>
    </row>
    <row r="197" customFormat="false" ht="22.5" hidden="false" customHeight="true" outlineLevel="0" collapsed="false">
      <c r="A197" s="137"/>
      <c r="B197" s="149"/>
      <c r="C197" s="149"/>
      <c r="D197" s="172"/>
      <c r="E197" s="172"/>
    </row>
    <row r="198" customFormat="false" ht="22.5" hidden="false" customHeight="true" outlineLevel="0" collapsed="false">
      <c r="A198" s="137"/>
      <c r="B198" s="149"/>
      <c r="C198" s="149"/>
      <c r="D198" s="172"/>
      <c r="E198" s="172"/>
    </row>
    <row r="199" customFormat="false" ht="22.5" hidden="false" customHeight="true" outlineLevel="0" collapsed="false">
      <c r="A199" s="137"/>
      <c r="B199" s="149"/>
      <c r="C199" s="149"/>
      <c r="D199" s="172"/>
      <c r="E199" s="172"/>
    </row>
    <row r="200" customFormat="false" ht="22.5" hidden="false" customHeight="true" outlineLevel="0" collapsed="false">
      <c r="A200" s="137"/>
      <c r="B200" s="149"/>
      <c r="C200" s="149"/>
      <c r="D200" s="172"/>
      <c r="E200" s="172"/>
    </row>
    <row r="201" customFormat="false" ht="22.5" hidden="false" customHeight="true" outlineLevel="0" collapsed="false">
      <c r="A201" s="137"/>
      <c r="B201" s="149"/>
      <c r="C201" s="149"/>
      <c r="D201" s="172"/>
      <c r="E201" s="172"/>
    </row>
    <row r="202" customFormat="false" ht="22.5" hidden="false" customHeight="true" outlineLevel="0" collapsed="false">
      <c r="A202" s="137"/>
      <c r="B202" s="149"/>
      <c r="C202" s="149"/>
      <c r="D202" s="172"/>
      <c r="E202" s="172"/>
    </row>
    <row r="203" customFormat="false" ht="22.5" hidden="false" customHeight="true" outlineLevel="0" collapsed="false">
      <c r="A203" s="137"/>
      <c r="B203" s="149"/>
      <c r="C203" s="149"/>
      <c r="D203" s="172"/>
      <c r="E203" s="172"/>
    </row>
    <row r="204" customFormat="false" ht="22.5" hidden="false" customHeight="true" outlineLevel="0" collapsed="false">
      <c r="A204" s="137"/>
      <c r="B204" s="149"/>
      <c r="C204" s="149"/>
      <c r="D204" s="172"/>
      <c r="E204" s="172"/>
    </row>
    <row r="205" customFormat="false" ht="22.5" hidden="false" customHeight="true" outlineLevel="0" collapsed="false">
      <c r="A205" s="137"/>
      <c r="B205" s="149"/>
      <c r="C205" s="149"/>
      <c r="D205" s="172"/>
      <c r="E205" s="172"/>
    </row>
    <row r="206" customFormat="false" ht="22.5" hidden="false" customHeight="true" outlineLevel="0" collapsed="false">
      <c r="A206" s="137"/>
      <c r="B206" s="149"/>
      <c r="C206" s="149"/>
      <c r="D206" s="172"/>
      <c r="E206" s="172"/>
    </row>
    <row r="207" customFormat="false" ht="22.5" hidden="false" customHeight="true" outlineLevel="0" collapsed="false">
      <c r="A207" s="137"/>
      <c r="B207" s="149"/>
      <c r="C207" s="149"/>
      <c r="D207" s="172"/>
      <c r="E207" s="172"/>
    </row>
    <row r="208" customFormat="false" ht="22.5" hidden="false" customHeight="true" outlineLevel="0" collapsed="false">
      <c r="A208" s="137"/>
      <c r="B208" s="149"/>
      <c r="C208" s="149"/>
      <c r="D208" s="172"/>
      <c r="E208" s="172"/>
    </row>
    <row r="209" customFormat="false" ht="22.5" hidden="false" customHeight="true" outlineLevel="0" collapsed="false">
      <c r="A209" s="137"/>
      <c r="B209" s="149"/>
      <c r="C209" s="149"/>
      <c r="D209" s="172"/>
      <c r="E209" s="172"/>
    </row>
    <row r="210" customFormat="false" ht="22.5" hidden="false" customHeight="true" outlineLevel="0" collapsed="false">
      <c r="A210" s="137"/>
      <c r="B210" s="149"/>
      <c r="C210" s="149"/>
      <c r="D210" s="172"/>
      <c r="E210" s="172"/>
    </row>
    <row r="211" customFormat="false" ht="22.5" hidden="false" customHeight="true" outlineLevel="0" collapsed="false">
      <c r="A211" s="137"/>
      <c r="B211" s="149"/>
      <c r="C211" s="149"/>
      <c r="D211" s="172"/>
      <c r="E211" s="172"/>
    </row>
    <row r="212" customFormat="false" ht="22.5" hidden="false" customHeight="true" outlineLevel="0" collapsed="false">
      <c r="A212" s="163"/>
      <c r="B212" s="149"/>
      <c r="C212" s="149"/>
      <c r="D212" s="172"/>
      <c r="E212" s="172"/>
    </row>
    <row r="213" customFormat="false" ht="22.5" hidden="false" customHeight="true" outlineLevel="0" collapsed="false">
      <c r="A213" s="137"/>
      <c r="B213" s="149"/>
      <c r="C213" s="149"/>
      <c r="D213" s="172"/>
      <c r="E213" s="172"/>
    </row>
    <row r="214" customFormat="false" ht="22.5" hidden="false" customHeight="true" outlineLevel="0" collapsed="false">
      <c r="A214" s="137"/>
      <c r="B214" s="149"/>
      <c r="C214" s="149"/>
      <c r="D214" s="172"/>
      <c r="E214" s="172"/>
    </row>
    <row r="215" customFormat="false" ht="22.5" hidden="false" customHeight="true" outlineLevel="0" collapsed="false">
      <c r="A215" s="137"/>
      <c r="B215" s="149"/>
      <c r="C215" s="149"/>
      <c r="D215" s="172"/>
      <c r="E215" s="172"/>
    </row>
    <row r="216" customFormat="false" ht="22.5" hidden="false" customHeight="true" outlineLevel="0" collapsed="false">
      <c r="A216" s="137"/>
      <c r="B216" s="23"/>
      <c r="C216" s="143"/>
      <c r="D216" s="23"/>
      <c r="E216" s="23"/>
    </row>
    <row r="217" customFormat="false" ht="22.5" hidden="false" customHeight="true" outlineLevel="0" collapsed="false">
      <c r="A217" s="137"/>
      <c r="B217" s="172"/>
      <c r="C217" s="149"/>
      <c r="D217" s="172"/>
      <c r="E217" s="172"/>
    </row>
    <row r="218" customFormat="false" ht="22.5" hidden="false" customHeight="true" outlineLevel="0" collapsed="false">
      <c r="A218" s="137"/>
      <c r="B218" s="173"/>
      <c r="C218" s="149"/>
      <c r="D218" s="172"/>
      <c r="E218" s="172"/>
    </row>
    <row r="219" customFormat="false" ht="22.5" hidden="false" customHeight="true" outlineLevel="0" collapsed="false">
      <c r="A219" s="137"/>
      <c r="B219" s="96"/>
      <c r="C219" s="174"/>
      <c r="D219" s="37"/>
      <c r="E219" s="37"/>
    </row>
    <row r="220" customFormat="false" ht="22.5" hidden="false" customHeight="true" outlineLevel="0" collapsed="false">
      <c r="A220" s="137"/>
      <c r="B220" s="96"/>
      <c r="C220" s="174"/>
      <c r="D220" s="37"/>
      <c r="E220" s="37"/>
    </row>
    <row r="221" customFormat="false" ht="22.5" hidden="false" customHeight="true" outlineLevel="0" collapsed="false">
      <c r="A221" s="101"/>
      <c r="B221" s="94"/>
      <c r="C221" s="143"/>
      <c r="D221" s="23"/>
      <c r="E221" s="23"/>
    </row>
    <row r="222" customFormat="false" ht="22.5" hidden="false" customHeight="true" outlineLevel="0" collapsed="false">
      <c r="A222" s="101"/>
      <c r="B222" s="181"/>
      <c r="C222" s="174"/>
      <c r="D222" s="37"/>
      <c r="E222" s="37"/>
    </row>
    <row r="223" customFormat="false" ht="22.5" hidden="false" customHeight="true" outlineLevel="0" collapsed="false">
      <c r="A223" s="101"/>
      <c r="B223" s="23"/>
      <c r="C223" s="143"/>
      <c r="D223" s="23"/>
      <c r="E223" s="23"/>
    </row>
    <row r="224" customFormat="false" ht="22.5" hidden="false" customHeight="true" outlineLevel="0" collapsed="false">
      <c r="A224" s="101"/>
      <c r="B224" s="37"/>
      <c r="C224" s="174"/>
      <c r="D224" s="37"/>
      <c r="E224" s="37"/>
    </row>
    <row r="225" customFormat="false" ht="22.5" hidden="false" customHeight="true" outlineLevel="0" collapsed="false">
      <c r="A225" s="101"/>
      <c r="B225" s="96"/>
      <c r="C225" s="174"/>
      <c r="D225" s="37"/>
      <c r="E225" s="37"/>
    </row>
    <row r="226" customFormat="false" ht="22.5" hidden="false" customHeight="true" outlineLevel="0" collapsed="false">
      <c r="A226" s="101"/>
      <c r="B226" s="96"/>
      <c r="C226" s="174"/>
      <c r="D226" s="37"/>
      <c r="E226" s="37"/>
    </row>
    <row r="227" customFormat="false" ht="22.5" hidden="false" customHeight="true" outlineLevel="0" collapsed="false">
      <c r="A227" s="101"/>
      <c r="B227" s="183"/>
      <c r="C227" s="174"/>
      <c r="D227" s="37"/>
      <c r="E227" s="37"/>
    </row>
    <row r="228" customFormat="false" ht="22.5" hidden="false" customHeight="true" outlineLevel="0" collapsed="false">
      <c r="A228" s="184"/>
      <c r="B228" s="52"/>
      <c r="C228" s="185"/>
      <c r="D228" s="285"/>
      <c r="E228" s="285"/>
    </row>
    <row r="229" customFormat="false" ht="15.75" hidden="false" customHeight="false" outlineLevel="0" collapsed="false">
      <c r="A229" s="188"/>
      <c r="B229" s="189"/>
      <c r="C229" s="174"/>
    </row>
    <row r="230" customFormat="false" ht="15.75" hidden="false" customHeight="false" outlineLevel="0" collapsed="false">
      <c r="A230" s="188"/>
      <c r="B230" s="189"/>
      <c r="C230" s="174"/>
    </row>
    <row r="231" customFormat="false" ht="15.75" hidden="false" customHeight="false" outlineLevel="0" collapsed="false">
      <c r="A231" s="188"/>
      <c r="B231" s="189"/>
      <c r="C231" s="174"/>
    </row>
    <row r="232" customFormat="false" ht="15.75" hidden="false" customHeight="false" outlineLevel="0" collapsed="false">
      <c r="A232" s="188"/>
      <c r="B232" s="189"/>
      <c r="C232" s="174"/>
    </row>
    <row r="233" customFormat="false" ht="15.75" hidden="false" customHeight="false" outlineLevel="0" collapsed="false">
      <c r="A233" s="188"/>
      <c r="B233" s="189"/>
      <c r="C233" s="174"/>
    </row>
    <row r="234" customFormat="false" ht="15.75" hidden="false" customHeight="false" outlineLevel="0" collapsed="false">
      <c r="A234" s="188"/>
      <c r="B234" s="189"/>
      <c r="C234" s="174"/>
    </row>
  </sheetData>
  <conditionalFormatting sqref="B102:B104">
    <cfRule type="expression" priority="2" aboveAverage="0" equalAverage="0" bottom="0" percent="0" rank="0" text="" dxfId="21">
      <formula>$G101="Terminated"</formula>
    </cfRule>
  </conditionalFormatting>
  <conditionalFormatting sqref="B83:B100 B105:B164 C83:C105 C107:C116 C118:C164">
    <cfRule type="expression" priority="3" aboveAverage="0" equalAverage="0" bottom="0" percent="0" rank="0" text="" dxfId="21">
      <formula>$G83="Terminated"</formula>
    </cfRule>
  </conditionalFormatting>
  <conditionalFormatting sqref="A2:B164 A190:A211 A213:A2011 B190:B2011 C83:C105 C107:C116 C118:C164 C215">
    <cfRule type="expression" priority="4" aboveAverage="0" equalAverage="0" bottom="0" percent="0" rank="0" text="" dxfId="21">
      <formula>$H2="Terminated"</formula>
    </cfRule>
  </conditionalFormatting>
  <conditionalFormatting sqref="A2:A164 A190:A211 A213:A2011 B2:B3 C215">
    <cfRule type="expression" priority="5" aboveAverage="0" equalAverage="0" bottom="0" percent="0" rank="0" text="" dxfId="21">
      <formula>$I2="Terminated"</formula>
    </cfRule>
  </conditionalFormatting>
  <dataValidations count="1">
    <dataValidation allowBlank="true" errorStyle="stop" operator="between" showDropDown="true" showErrorMessage="false" showInputMessage="false" sqref="A2:A228" type="custom">
      <formula1>OR(NOT(ISERROR(DATEVALUE(A2))), AND(ISNUMBER(A2), LEFT(CELL("format", A2))="D"))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2026-08-19T08:19:31Z</dcterms:created>
  <dc:creator>openpyxl</dc:creator>
  <dc:description/>
  <dc:language>en-US</dc:language>
  <cp:lastModifiedBy/>
  <dcterms:modified xsi:type="dcterms:W3CDTF">2026-08-19T08:19:32Z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